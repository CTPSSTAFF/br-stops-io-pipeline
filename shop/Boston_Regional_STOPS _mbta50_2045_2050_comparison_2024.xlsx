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J:\Shared drives\TMD_TSA\BRSTOPS\Model Scenarios\BRSTOPS_2024BaseYear_20251216\Completed Run\"/>
    </mc:Choice>
  </mc:AlternateContent>
  <xr:revisionPtr revIDLastSave="0" documentId="13_ncr:1_{701B64D5-68A7-4074-83A8-7721CF1F1FFC}" xr6:coauthVersionLast="47" xr6:coauthVersionMax="47" xr10:uidLastSave="{00000000-0000-0000-0000-000000000000}"/>
  <bookViews>
    <workbookView xWindow="28680" yWindow="630" windowWidth="29040" windowHeight="15720" tabRatio="939" xr2:uid="{00000000-000D-0000-FFFF-FFFF00000000}"/>
  </bookViews>
  <sheets>
    <sheet name="EvOSys" sheetId="139" r:id="rId1"/>
    <sheet name="EvO10.01-2045" sheetId="285" r:id="rId2"/>
    <sheet name="EvO10.01-2050" sheetId="283" r:id="rId3"/>
  </sheets>
  <externalReferences>
    <externalReference r:id="rId4"/>
  </externalReferences>
  <definedNames>
    <definedName name="_xlnm._FilterDatabase" localSheetId="1" hidden="1">'EvO10.01-2045'!$A$7:$M$270</definedName>
    <definedName name="_xlnm._FilterDatabase" localSheetId="2" hidden="1">'EvO10.01-2050'!$A$7:$R$270</definedName>
    <definedName name="_xlnm.Database">#REF!</definedName>
    <definedName name="GeoRegions" localSheetId="1">#REF!</definedName>
    <definedName name="GeoRegions" localSheetId="2">#REF!</definedName>
    <definedName name="GeoRegions" localSheetId="0">#REF!</definedName>
    <definedName name="GeoRegions">#REF!</definedName>
    <definedName name="MPOField" localSheetId="1">#REF!</definedName>
    <definedName name="MPOField" localSheetId="2">#REF!</definedName>
    <definedName name="MPOField" localSheetId="0">#REF!</definedName>
    <definedName name="MPOField">#REF!</definedName>
    <definedName name="_xlnm.Print_Area" localSheetId="1">'EvO10.01-2045'!$A$2:$M$299</definedName>
    <definedName name="_xlnm.Print_Area" localSheetId="2">'EvO10.01-2050'!$A$2:$R$299</definedName>
    <definedName name="_xlnm.Print_Area" localSheetId="0">EvOSys!$A$2:$F$53</definedName>
    <definedName name="_xlnm.Print_Titles" localSheetId="1">'EvO10.01-2045'!$2:$7</definedName>
    <definedName name="_xlnm.Print_Titles" localSheetId="2">'EvO10.01-2050'!$2:$7</definedName>
    <definedName name="vvf" localSheetId="1">#REF!</definedName>
    <definedName name="vvf" localSheetId="2">#REF!</definedName>
    <definedName name="vv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39" l="1"/>
  <c r="E4" i="139"/>
  <c r="D15" i="139"/>
  <c r="D14" i="139"/>
  <c r="E14" i="139" s="1"/>
  <c r="D13" i="139"/>
  <c r="E13" i="139" s="1"/>
  <c r="D12" i="139"/>
  <c r="E12" i="139" s="1"/>
  <c r="D11" i="139"/>
  <c r="E11" i="139" s="1"/>
  <c r="D10" i="139"/>
  <c r="E10" i="139" s="1"/>
  <c r="D9" i="139"/>
  <c r="E9" i="139" s="1"/>
  <c r="D8" i="139"/>
  <c r="E8" i="139" s="1"/>
  <c r="D7" i="139"/>
  <c r="E7" i="139" s="1"/>
  <c r="D6" i="139"/>
  <c r="E6" i="139" s="1"/>
  <c r="D5" i="139"/>
  <c r="E5" i="139" s="1"/>
  <c r="D4" i="139"/>
  <c r="I8" i="285"/>
  <c r="M8" i="285"/>
  <c r="I9" i="285"/>
  <c r="M9" i="285"/>
  <c r="I10" i="285"/>
  <c r="I274" i="285" s="1"/>
  <c r="M10" i="285"/>
  <c r="I11" i="285"/>
  <c r="M11" i="285"/>
  <c r="I12" i="285"/>
  <c r="M12" i="285"/>
  <c r="I13" i="285"/>
  <c r="M13" i="285"/>
  <c r="M275" i="285" s="1"/>
  <c r="I14" i="285"/>
  <c r="M14" i="285"/>
  <c r="I15" i="285"/>
  <c r="M15" i="285"/>
  <c r="I16" i="285"/>
  <c r="M16" i="285"/>
  <c r="M276" i="285" s="1"/>
  <c r="I17" i="285"/>
  <c r="M17" i="285"/>
  <c r="I18" i="285"/>
  <c r="M18" i="285"/>
  <c r="I19" i="285"/>
  <c r="M19" i="285"/>
  <c r="I20" i="285"/>
  <c r="M20" i="285"/>
  <c r="I21" i="285"/>
  <c r="M21" i="285"/>
  <c r="I22" i="285"/>
  <c r="M22" i="285"/>
  <c r="I23" i="285"/>
  <c r="M23" i="285"/>
  <c r="I24" i="285"/>
  <c r="M24" i="285"/>
  <c r="I25" i="285"/>
  <c r="M25" i="285"/>
  <c r="I26" i="285"/>
  <c r="M26" i="285"/>
  <c r="I27" i="285"/>
  <c r="M27" i="285"/>
  <c r="I28" i="285"/>
  <c r="M28" i="285"/>
  <c r="I29" i="285"/>
  <c r="M29" i="285"/>
  <c r="I30" i="285"/>
  <c r="M30" i="285"/>
  <c r="I31" i="285"/>
  <c r="M31" i="285"/>
  <c r="I32" i="285"/>
  <c r="M32" i="285"/>
  <c r="I33" i="285"/>
  <c r="M33" i="285"/>
  <c r="I34" i="285"/>
  <c r="M34" i="285"/>
  <c r="I35" i="285"/>
  <c r="M35" i="285"/>
  <c r="I36" i="285"/>
  <c r="M36" i="285"/>
  <c r="I37" i="285"/>
  <c r="M37" i="285"/>
  <c r="I38" i="285"/>
  <c r="M38" i="285"/>
  <c r="I39" i="285"/>
  <c r="M39" i="285"/>
  <c r="I40" i="285"/>
  <c r="M40" i="285"/>
  <c r="I41" i="285"/>
  <c r="M41" i="285"/>
  <c r="I42" i="285"/>
  <c r="M42" i="285"/>
  <c r="I43" i="285"/>
  <c r="M43" i="285"/>
  <c r="I44" i="285"/>
  <c r="M44" i="285"/>
  <c r="I45" i="285"/>
  <c r="M45" i="285"/>
  <c r="I46" i="285"/>
  <c r="M46" i="285"/>
  <c r="I47" i="285"/>
  <c r="M47" i="285"/>
  <c r="I48" i="285"/>
  <c r="M48" i="285"/>
  <c r="I49" i="285"/>
  <c r="M49" i="285"/>
  <c r="I50" i="285"/>
  <c r="M50" i="285"/>
  <c r="I51" i="285"/>
  <c r="I280" i="285" s="1"/>
  <c r="M51" i="285"/>
  <c r="I52" i="285"/>
  <c r="M52" i="285"/>
  <c r="I53" i="285"/>
  <c r="M53" i="285"/>
  <c r="I54" i="285"/>
  <c r="M54" i="285"/>
  <c r="I55" i="285"/>
  <c r="M55" i="285"/>
  <c r="I56" i="285"/>
  <c r="M56" i="285"/>
  <c r="I57" i="285"/>
  <c r="M57" i="285"/>
  <c r="I58" i="285"/>
  <c r="M58" i="285"/>
  <c r="I59" i="285"/>
  <c r="M59" i="285"/>
  <c r="I60" i="285"/>
  <c r="M60" i="285"/>
  <c r="I61" i="285"/>
  <c r="M61" i="285"/>
  <c r="I62" i="285"/>
  <c r="M62" i="285"/>
  <c r="I63" i="285"/>
  <c r="M63" i="285"/>
  <c r="I64" i="285"/>
  <c r="M64" i="285"/>
  <c r="I65" i="285"/>
  <c r="M65" i="285"/>
  <c r="I66" i="285"/>
  <c r="M66" i="285"/>
  <c r="M279" i="285" s="1"/>
  <c r="I67" i="285"/>
  <c r="M67" i="285"/>
  <c r="I68" i="285"/>
  <c r="M68" i="285"/>
  <c r="I69" i="285"/>
  <c r="M69" i="285"/>
  <c r="I70" i="285"/>
  <c r="M70" i="285"/>
  <c r="I71" i="285"/>
  <c r="M71" i="285"/>
  <c r="I72" i="285"/>
  <c r="M72" i="285"/>
  <c r="I73" i="285"/>
  <c r="M73" i="285"/>
  <c r="I74" i="285"/>
  <c r="M74" i="285"/>
  <c r="I75" i="285"/>
  <c r="M75" i="285"/>
  <c r="I76" i="285"/>
  <c r="M76" i="285"/>
  <c r="I77" i="285"/>
  <c r="M77" i="285"/>
  <c r="I78" i="285"/>
  <c r="M78" i="285"/>
  <c r="I79" i="285"/>
  <c r="M79" i="285"/>
  <c r="I80" i="285"/>
  <c r="M80" i="285"/>
  <c r="I81" i="285"/>
  <c r="M81" i="285"/>
  <c r="I82" i="285"/>
  <c r="M82" i="285"/>
  <c r="I83" i="285"/>
  <c r="M83" i="285"/>
  <c r="I84" i="285"/>
  <c r="M84" i="285"/>
  <c r="I85" i="285"/>
  <c r="M85" i="285"/>
  <c r="I86" i="285"/>
  <c r="M86" i="285"/>
  <c r="I87" i="285"/>
  <c r="M87" i="285"/>
  <c r="I88" i="285"/>
  <c r="M88" i="285"/>
  <c r="I89" i="285"/>
  <c r="M89" i="285"/>
  <c r="I90" i="285"/>
  <c r="M90" i="285"/>
  <c r="I91" i="285"/>
  <c r="M91" i="285"/>
  <c r="I92" i="285"/>
  <c r="M92" i="285"/>
  <c r="I93" i="285"/>
  <c r="M93" i="285"/>
  <c r="I94" i="285"/>
  <c r="M94" i="285"/>
  <c r="I95" i="285"/>
  <c r="M95" i="285"/>
  <c r="I96" i="285"/>
  <c r="M96" i="285"/>
  <c r="I97" i="285"/>
  <c r="M97" i="285"/>
  <c r="I98" i="285"/>
  <c r="M98" i="285"/>
  <c r="I99" i="285"/>
  <c r="M99" i="285"/>
  <c r="I100" i="285"/>
  <c r="M100" i="285"/>
  <c r="I101" i="285"/>
  <c r="M101" i="285"/>
  <c r="I102" i="285"/>
  <c r="M102" i="285"/>
  <c r="I103" i="285"/>
  <c r="M103" i="285"/>
  <c r="I104" i="285"/>
  <c r="M104" i="285"/>
  <c r="I105" i="285"/>
  <c r="M105" i="285"/>
  <c r="I106" i="285"/>
  <c r="M106" i="285"/>
  <c r="I107" i="285"/>
  <c r="M107" i="285"/>
  <c r="I108" i="285"/>
  <c r="M108" i="285"/>
  <c r="I109" i="285"/>
  <c r="M109" i="285"/>
  <c r="I110" i="285"/>
  <c r="M110" i="285"/>
  <c r="I111" i="285"/>
  <c r="M111" i="285"/>
  <c r="I112" i="285"/>
  <c r="M112" i="285"/>
  <c r="I113" i="285"/>
  <c r="M113" i="285"/>
  <c r="I114" i="285"/>
  <c r="M114" i="285"/>
  <c r="I115" i="285"/>
  <c r="M115" i="285"/>
  <c r="I116" i="285"/>
  <c r="M116" i="285"/>
  <c r="I117" i="285"/>
  <c r="M117" i="285"/>
  <c r="I118" i="285"/>
  <c r="M118" i="285"/>
  <c r="I119" i="285"/>
  <c r="M119" i="285"/>
  <c r="I120" i="285"/>
  <c r="M120" i="285"/>
  <c r="I121" i="285"/>
  <c r="M121" i="285"/>
  <c r="I122" i="285"/>
  <c r="M122" i="285"/>
  <c r="I123" i="285"/>
  <c r="M123" i="285"/>
  <c r="I124" i="285"/>
  <c r="M124" i="285"/>
  <c r="I125" i="285"/>
  <c r="M125" i="285"/>
  <c r="I126" i="285"/>
  <c r="M126" i="285"/>
  <c r="I127" i="285"/>
  <c r="M127" i="285"/>
  <c r="I128" i="285"/>
  <c r="M128" i="285"/>
  <c r="I129" i="285"/>
  <c r="M129" i="285"/>
  <c r="I130" i="285"/>
  <c r="M130" i="285"/>
  <c r="I131" i="285"/>
  <c r="M131" i="285"/>
  <c r="I132" i="285"/>
  <c r="M132" i="285"/>
  <c r="I133" i="285"/>
  <c r="M133" i="285"/>
  <c r="I134" i="285"/>
  <c r="M134" i="285"/>
  <c r="I135" i="285"/>
  <c r="M135" i="285"/>
  <c r="I136" i="285"/>
  <c r="M136" i="285"/>
  <c r="I137" i="285"/>
  <c r="M137" i="285"/>
  <c r="I138" i="285"/>
  <c r="M138" i="285"/>
  <c r="I139" i="285"/>
  <c r="M139" i="285"/>
  <c r="I140" i="285"/>
  <c r="M140" i="285"/>
  <c r="I141" i="285"/>
  <c r="M141" i="285"/>
  <c r="I142" i="285"/>
  <c r="M142" i="285"/>
  <c r="I143" i="285"/>
  <c r="M143" i="285"/>
  <c r="I144" i="285"/>
  <c r="M144" i="285"/>
  <c r="I145" i="285"/>
  <c r="M145" i="285"/>
  <c r="I146" i="285"/>
  <c r="M146" i="285"/>
  <c r="I147" i="285"/>
  <c r="M147" i="285"/>
  <c r="I148" i="285"/>
  <c r="M148" i="285"/>
  <c r="I149" i="285"/>
  <c r="M149" i="285"/>
  <c r="I150" i="285"/>
  <c r="M150" i="285"/>
  <c r="I151" i="285"/>
  <c r="M151" i="285"/>
  <c r="I152" i="285"/>
  <c r="M152" i="285"/>
  <c r="I153" i="285"/>
  <c r="M153" i="285"/>
  <c r="I154" i="285"/>
  <c r="M154" i="285"/>
  <c r="I155" i="285"/>
  <c r="M155" i="285"/>
  <c r="I156" i="285"/>
  <c r="M156" i="285"/>
  <c r="I157" i="285"/>
  <c r="M157" i="285"/>
  <c r="I158" i="285"/>
  <c r="M158" i="285"/>
  <c r="I159" i="285"/>
  <c r="M159" i="285"/>
  <c r="I160" i="285"/>
  <c r="M160" i="285"/>
  <c r="I161" i="285"/>
  <c r="M161" i="285"/>
  <c r="I162" i="285"/>
  <c r="M162" i="285"/>
  <c r="I163" i="285"/>
  <c r="M163" i="285"/>
  <c r="I164" i="285"/>
  <c r="M164" i="285"/>
  <c r="I165" i="285"/>
  <c r="M165" i="285"/>
  <c r="I166" i="285"/>
  <c r="M166" i="285"/>
  <c r="I167" i="285"/>
  <c r="M167" i="285"/>
  <c r="I168" i="285"/>
  <c r="M168" i="285"/>
  <c r="I169" i="285"/>
  <c r="M169" i="285"/>
  <c r="I170" i="285"/>
  <c r="M170" i="285"/>
  <c r="I171" i="285"/>
  <c r="M171" i="285"/>
  <c r="I172" i="285"/>
  <c r="M172" i="285"/>
  <c r="I173" i="285"/>
  <c r="M173" i="285"/>
  <c r="I174" i="285"/>
  <c r="M174" i="285"/>
  <c r="I175" i="285"/>
  <c r="M175" i="285"/>
  <c r="I176" i="285"/>
  <c r="M176" i="285"/>
  <c r="I177" i="285"/>
  <c r="M177" i="285"/>
  <c r="I178" i="285"/>
  <c r="M178" i="285"/>
  <c r="I179" i="285"/>
  <c r="M179" i="285"/>
  <c r="I180" i="285"/>
  <c r="M180" i="285"/>
  <c r="I181" i="285"/>
  <c r="M181" i="285"/>
  <c r="I182" i="285"/>
  <c r="M182" i="285"/>
  <c r="I183" i="285"/>
  <c r="M183" i="285"/>
  <c r="I184" i="285"/>
  <c r="M184" i="285"/>
  <c r="I185" i="285"/>
  <c r="M185" i="285"/>
  <c r="I186" i="285"/>
  <c r="M186" i="285"/>
  <c r="I187" i="285"/>
  <c r="M187" i="285"/>
  <c r="I188" i="285"/>
  <c r="M188" i="285"/>
  <c r="I189" i="285"/>
  <c r="M189" i="285"/>
  <c r="I190" i="285"/>
  <c r="M190" i="285"/>
  <c r="I191" i="285"/>
  <c r="M191" i="285"/>
  <c r="I192" i="285"/>
  <c r="M192" i="285"/>
  <c r="I193" i="285"/>
  <c r="M193" i="285"/>
  <c r="I194" i="285"/>
  <c r="M194" i="285"/>
  <c r="I195" i="285"/>
  <c r="M195" i="285"/>
  <c r="I196" i="285"/>
  <c r="M196" i="285"/>
  <c r="I197" i="285"/>
  <c r="M197" i="285"/>
  <c r="I198" i="285"/>
  <c r="M198" i="285"/>
  <c r="I199" i="285"/>
  <c r="M199" i="285"/>
  <c r="I200" i="285"/>
  <c r="M200" i="285"/>
  <c r="I201" i="285"/>
  <c r="M201" i="285"/>
  <c r="I202" i="285"/>
  <c r="M202" i="285"/>
  <c r="I203" i="285"/>
  <c r="M203" i="285"/>
  <c r="I204" i="285"/>
  <c r="M204" i="285"/>
  <c r="I205" i="285"/>
  <c r="M205" i="285"/>
  <c r="I206" i="285"/>
  <c r="M206" i="285"/>
  <c r="I207" i="285"/>
  <c r="M207" i="285"/>
  <c r="I208" i="285"/>
  <c r="M208" i="285"/>
  <c r="I209" i="285"/>
  <c r="M209" i="285"/>
  <c r="I210" i="285"/>
  <c r="M210" i="285"/>
  <c r="I211" i="285"/>
  <c r="M211" i="285"/>
  <c r="I212" i="285"/>
  <c r="M212" i="285"/>
  <c r="I213" i="285"/>
  <c r="M213" i="285"/>
  <c r="I214" i="285"/>
  <c r="M214" i="285"/>
  <c r="I215" i="285"/>
  <c r="M215" i="285"/>
  <c r="I216" i="285"/>
  <c r="M216" i="285"/>
  <c r="I217" i="285"/>
  <c r="M217" i="285"/>
  <c r="I218" i="285"/>
  <c r="M218" i="285"/>
  <c r="I219" i="285"/>
  <c r="M219" i="285"/>
  <c r="I220" i="285"/>
  <c r="M220" i="285"/>
  <c r="I221" i="285"/>
  <c r="M221" i="285"/>
  <c r="I222" i="285"/>
  <c r="M222" i="285"/>
  <c r="I223" i="285"/>
  <c r="M223" i="285"/>
  <c r="I224" i="285"/>
  <c r="M224" i="285"/>
  <c r="I225" i="285"/>
  <c r="M225" i="285"/>
  <c r="I226" i="285"/>
  <c r="M226" i="285"/>
  <c r="I227" i="285"/>
  <c r="M227" i="285"/>
  <c r="I228" i="285"/>
  <c r="M228" i="285"/>
  <c r="I229" i="285"/>
  <c r="M229" i="285"/>
  <c r="I230" i="285"/>
  <c r="M230" i="285"/>
  <c r="I231" i="285"/>
  <c r="M231" i="285"/>
  <c r="I232" i="285"/>
  <c r="M232" i="285"/>
  <c r="I233" i="285"/>
  <c r="I284" i="285" s="1"/>
  <c r="M233" i="285"/>
  <c r="I234" i="285"/>
  <c r="M234" i="285"/>
  <c r="I235" i="285"/>
  <c r="M235" i="285"/>
  <c r="I236" i="285"/>
  <c r="M236" i="285"/>
  <c r="I237" i="285"/>
  <c r="M237" i="285"/>
  <c r="I238" i="285"/>
  <c r="M238" i="285"/>
  <c r="I239" i="285"/>
  <c r="M239" i="285"/>
  <c r="I240" i="285"/>
  <c r="M240" i="285"/>
  <c r="I241" i="285"/>
  <c r="M241" i="285"/>
  <c r="I242" i="285"/>
  <c r="M242" i="285"/>
  <c r="I243" i="285"/>
  <c r="M243" i="285"/>
  <c r="I244" i="285"/>
  <c r="M244" i="285"/>
  <c r="I245" i="285"/>
  <c r="M245" i="285"/>
  <c r="I246" i="285"/>
  <c r="M246" i="285"/>
  <c r="I247" i="285"/>
  <c r="M247" i="285"/>
  <c r="I248" i="285"/>
  <c r="M248" i="285"/>
  <c r="I249" i="285"/>
  <c r="M249" i="285"/>
  <c r="I250" i="285"/>
  <c r="M250" i="285"/>
  <c r="I251" i="285"/>
  <c r="M251" i="285"/>
  <c r="I252" i="285"/>
  <c r="M252" i="285"/>
  <c r="I253" i="285"/>
  <c r="M253" i="285"/>
  <c r="I254" i="285"/>
  <c r="M254" i="285"/>
  <c r="I255" i="285"/>
  <c r="M255" i="285"/>
  <c r="I256" i="285"/>
  <c r="M256" i="285"/>
  <c r="I257" i="285"/>
  <c r="M257" i="285"/>
  <c r="I258" i="285"/>
  <c r="M258" i="285"/>
  <c r="I259" i="285"/>
  <c r="M259" i="285"/>
  <c r="I260" i="285"/>
  <c r="M260" i="285"/>
  <c r="I261" i="285"/>
  <c r="M261" i="285"/>
  <c r="I262" i="285"/>
  <c r="M262" i="285"/>
  <c r="I263" i="285"/>
  <c r="M263" i="285"/>
  <c r="I264" i="285"/>
  <c r="M264" i="285"/>
  <c r="I265" i="285"/>
  <c r="M265" i="285"/>
  <c r="I266" i="285"/>
  <c r="M266" i="285"/>
  <c r="I267" i="285"/>
  <c r="M267" i="285"/>
  <c r="I268" i="285"/>
  <c r="M268" i="285"/>
  <c r="I269" i="285"/>
  <c r="M269" i="285"/>
  <c r="F270" i="285"/>
  <c r="G270" i="285"/>
  <c r="H270" i="285"/>
  <c r="J270" i="285"/>
  <c r="K270" i="285"/>
  <c r="L270" i="285"/>
  <c r="D274" i="285"/>
  <c r="J274" i="285"/>
  <c r="K274" i="285"/>
  <c r="L274" i="285"/>
  <c r="D275" i="285"/>
  <c r="J275" i="285"/>
  <c r="K275" i="285"/>
  <c r="L275" i="285"/>
  <c r="D276" i="285"/>
  <c r="J276" i="285"/>
  <c r="K276" i="285"/>
  <c r="L276" i="285"/>
  <c r="D277" i="285"/>
  <c r="J277" i="285"/>
  <c r="K277" i="285"/>
  <c r="L277" i="285"/>
  <c r="D278" i="285"/>
  <c r="J278" i="285"/>
  <c r="K278" i="285"/>
  <c r="L278" i="285"/>
  <c r="D279" i="285"/>
  <c r="J279" i="285"/>
  <c r="K279" i="285"/>
  <c r="L279" i="285"/>
  <c r="D280" i="285"/>
  <c r="J280" i="285"/>
  <c r="K280" i="285"/>
  <c r="L280" i="285"/>
  <c r="D281" i="285"/>
  <c r="J281" i="285"/>
  <c r="K281" i="285"/>
  <c r="L281" i="285"/>
  <c r="D282" i="285"/>
  <c r="J282" i="285"/>
  <c r="K282" i="285"/>
  <c r="L282" i="285"/>
  <c r="D283" i="285"/>
  <c r="J283" i="285"/>
  <c r="K283" i="285"/>
  <c r="L283" i="285"/>
  <c r="D284" i="285"/>
  <c r="J284" i="285"/>
  <c r="K284" i="285"/>
  <c r="L284" i="285"/>
  <c r="D285" i="285"/>
  <c r="J285" i="285"/>
  <c r="K285" i="285"/>
  <c r="L285" i="285"/>
  <c r="J291" i="285"/>
  <c r="K291" i="285"/>
  <c r="L291" i="285"/>
  <c r="J292" i="285"/>
  <c r="K292" i="285"/>
  <c r="L292" i="285"/>
  <c r="J293" i="285"/>
  <c r="K293" i="285"/>
  <c r="L293" i="285"/>
  <c r="J294" i="285"/>
  <c r="K294" i="285"/>
  <c r="L294" i="285"/>
  <c r="D16" i="139" l="1"/>
  <c r="E16" i="139" s="1"/>
  <c r="I292" i="285"/>
  <c r="L286" i="285"/>
  <c r="M277" i="285"/>
  <c r="M285" i="285"/>
  <c r="L290" i="285"/>
  <c r="L298" i="285" s="1"/>
  <c r="M284" i="285"/>
  <c r="M270" i="285"/>
  <c r="I277" i="285"/>
  <c r="I282" i="285"/>
  <c r="I278" i="285"/>
  <c r="J290" i="285"/>
  <c r="J298" i="285" s="1"/>
  <c r="M280" i="285"/>
  <c r="M274" i="285"/>
  <c r="M290" i="285" s="1"/>
  <c r="I270" i="285"/>
  <c r="I276" i="285"/>
  <c r="I290" i="285" s="1"/>
  <c r="I279" i="285"/>
  <c r="M281" i="285"/>
  <c r="M294" i="285"/>
  <c r="M282" i="285"/>
  <c r="M292" i="285"/>
  <c r="M293" i="285"/>
  <c r="K290" i="285"/>
  <c r="K298" i="285" s="1"/>
  <c r="I281" i="285"/>
  <c r="I291" i="285"/>
  <c r="J286" i="285"/>
  <c r="M283" i="285"/>
  <c r="I285" i="285"/>
  <c r="M278" i="285"/>
  <c r="I293" i="285"/>
  <c r="I275" i="285"/>
  <c r="K286" i="285"/>
  <c r="I294" i="285"/>
  <c r="I283" i="285"/>
  <c r="M291" i="285"/>
  <c r="I286" i="285" l="1"/>
  <c r="M286" i="285"/>
  <c r="M298" i="285"/>
  <c r="I298" i="285"/>
  <c r="M266" i="283"/>
  <c r="M263" i="283"/>
  <c r="M258" i="283"/>
  <c r="M250" i="283"/>
  <c r="M247" i="283"/>
  <c r="M245" i="283"/>
  <c r="M244" i="283"/>
  <c r="M241" i="283"/>
  <c r="M236" i="283"/>
  <c r="M234" i="283"/>
  <c r="M232" i="283"/>
  <c r="M229" i="283"/>
  <c r="M228" i="283"/>
  <c r="M221" i="283"/>
  <c r="M220" i="283"/>
  <c r="M212" i="283"/>
  <c r="M197" i="283"/>
  <c r="H270" i="283"/>
  <c r="G270" i="283"/>
  <c r="F270" i="283"/>
  <c r="I9" i="283"/>
  <c r="I10" i="283"/>
  <c r="I11" i="283"/>
  <c r="I12" i="283"/>
  <c r="I13" i="283"/>
  <c r="I14" i="283"/>
  <c r="I15" i="283"/>
  <c r="I16" i="283"/>
  <c r="I17" i="283"/>
  <c r="I18" i="283"/>
  <c r="I19" i="283"/>
  <c r="I20" i="283"/>
  <c r="I21" i="283"/>
  <c r="I22" i="283"/>
  <c r="I23" i="283"/>
  <c r="I24" i="283"/>
  <c r="I25" i="283"/>
  <c r="I26" i="283"/>
  <c r="I27" i="283"/>
  <c r="I28" i="283"/>
  <c r="I29" i="283"/>
  <c r="I30" i="283"/>
  <c r="I31" i="283"/>
  <c r="I32" i="283"/>
  <c r="I33" i="283"/>
  <c r="I34" i="283"/>
  <c r="I35" i="283"/>
  <c r="I36" i="283"/>
  <c r="I37" i="283"/>
  <c r="I38" i="283"/>
  <c r="I39" i="283"/>
  <c r="I40" i="283"/>
  <c r="I41" i="283"/>
  <c r="I42" i="283"/>
  <c r="I43" i="283"/>
  <c r="I44" i="283"/>
  <c r="I45" i="283"/>
  <c r="I46" i="283"/>
  <c r="I47" i="283"/>
  <c r="I48" i="283"/>
  <c r="I49" i="283"/>
  <c r="I50" i="283"/>
  <c r="I51" i="283"/>
  <c r="I52" i="283"/>
  <c r="I53" i="283"/>
  <c r="I54" i="283"/>
  <c r="I55" i="283"/>
  <c r="I63" i="283"/>
  <c r="I141" i="283"/>
  <c r="I144" i="283"/>
  <c r="I145" i="283"/>
  <c r="I157" i="283"/>
  <c r="I168" i="283"/>
  <c r="I56" i="283"/>
  <c r="I170" i="283"/>
  <c r="I58" i="283"/>
  <c r="I175" i="283"/>
  <c r="I179" i="283"/>
  <c r="I60" i="283"/>
  <c r="I61" i="283"/>
  <c r="I62" i="283"/>
  <c r="I184" i="283"/>
  <c r="I185" i="283"/>
  <c r="I191" i="283"/>
  <c r="I186" i="283"/>
  <c r="I64" i="283"/>
  <c r="I65" i="283"/>
  <c r="I66" i="283"/>
  <c r="I67" i="283"/>
  <c r="I68" i="283"/>
  <c r="I69" i="283"/>
  <c r="I70" i="283"/>
  <c r="I71" i="283"/>
  <c r="I72" i="283"/>
  <c r="I73" i="283"/>
  <c r="I74" i="283"/>
  <c r="I75" i="283"/>
  <c r="I76" i="283"/>
  <c r="I77" i="283"/>
  <c r="I78" i="283"/>
  <c r="I79" i="283"/>
  <c r="I80" i="283"/>
  <c r="I81" i="283"/>
  <c r="I82" i="283"/>
  <c r="I83" i="283"/>
  <c r="I84" i="283"/>
  <c r="I85" i="283"/>
  <c r="I86" i="283"/>
  <c r="I87" i="283"/>
  <c r="I88" i="283"/>
  <c r="I89" i="283"/>
  <c r="I90" i="283"/>
  <c r="I91" i="283"/>
  <c r="I92" i="283"/>
  <c r="I93" i="283"/>
  <c r="I94" i="283"/>
  <c r="I95" i="283"/>
  <c r="I96" i="283"/>
  <c r="I97" i="283"/>
  <c r="I98" i="283"/>
  <c r="I99" i="283"/>
  <c r="I100" i="283"/>
  <c r="I101" i="283"/>
  <c r="I102" i="283"/>
  <c r="I103" i="283"/>
  <c r="I104" i="283"/>
  <c r="I105" i="283"/>
  <c r="I106" i="283"/>
  <c r="I107" i="283"/>
  <c r="I108" i="283"/>
  <c r="I109" i="283"/>
  <c r="I110" i="283"/>
  <c r="I111" i="283"/>
  <c r="I112" i="283"/>
  <c r="I113" i="283"/>
  <c r="I114" i="283"/>
  <c r="I115" i="283"/>
  <c r="I116" i="283"/>
  <c r="I117" i="283"/>
  <c r="I118" i="283"/>
  <c r="I119" i="283"/>
  <c r="I120" i="283"/>
  <c r="I121" i="283"/>
  <c r="I122" i="283"/>
  <c r="I123" i="283"/>
  <c r="I124" i="283"/>
  <c r="I125" i="283"/>
  <c r="I126" i="283"/>
  <c r="I127" i="283"/>
  <c r="I128" i="283"/>
  <c r="I129" i="283"/>
  <c r="I130" i="283"/>
  <c r="I131" i="283"/>
  <c r="I132" i="283"/>
  <c r="I133" i="283"/>
  <c r="I134" i="283"/>
  <c r="I135" i="283"/>
  <c r="I136" i="283"/>
  <c r="I137" i="283"/>
  <c r="I138" i="283"/>
  <c r="I139" i="283"/>
  <c r="I140" i="283"/>
  <c r="I142" i="283"/>
  <c r="I143" i="283"/>
  <c r="I146" i="283"/>
  <c r="I147" i="283"/>
  <c r="I148" i="283"/>
  <c r="I149" i="283"/>
  <c r="I150" i="283"/>
  <c r="I151" i="283"/>
  <c r="I152" i="283"/>
  <c r="I153" i="283"/>
  <c r="I154" i="283"/>
  <c r="I155" i="283"/>
  <c r="I156" i="283"/>
  <c r="I158" i="283"/>
  <c r="I159" i="283"/>
  <c r="I160" i="283"/>
  <c r="I161" i="283"/>
  <c r="I162" i="283"/>
  <c r="I163" i="283"/>
  <c r="I164" i="283"/>
  <c r="I165" i="283"/>
  <c r="I166" i="283"/>
  <c r="I167" i="283"/>
  <c r="I169" i="283"/>
  <c r="I57" i="283"/>
  <c r="I171" i="283"/>
  <c r="I172" i="283"/>
  <c r="I173" i="283"/>
  <c r="I174" i="283"/>
  <c r="I176" i="283"/>
  <c r="I177" i="283"/>
  <c r="I178" i="283"/>
  <c r="I59" i="283"/>
  <c r="I180" i="283"/>
  <c r="I181" i="283"/>
  <c r="I182" i="283"/>
  <c r="I183" i="283"/>
  <c r="I187" i="283"/>
  <c r="I188" i="283"/>
  <c r="I189" i="283"/>
  <c r="I190" i="283"/>
  <c r="I192" i="283"/>
  <c r="I193" i="283"/>
  <c r="I194" i="283"/>
  <c r="I195" i="283"/>
  <c r="I196" i="283"/>
  <c r="I197" i="283"/>
  <c r="I198" i="283"/>
  <c r="I199" i="283"/>
  <c r="I200" i="283"/>
  <c r="I201" i="283"/>
  <c r="I202" i="283"/>
  <c r="I203" i="283"/>
  <c r="I204" i="283"/>
  <c r="I205" i="283"/>
  <c r="I206" i="283"/>
  <c r="I207" i="283"/>
  <c r="I208" i="283"/>
  <c r="I209" i="283"/>
  <c r="I210" i="283"/>
  <c r="I211" i="283"/>
  <c r="I212" i="283"/>
  <c r="I213" i="283"/>
  <c r="I214" i="283"/>
  <c r="I215" i="283"/>
  <c r="I216" i="283"/>
  <c r="I217" i="283"/>
  <c r="I218" i="283"/>
  <c r="I219" i="283"/>
  <c r="I220" i="283"/>
  <c r="I221" i="283"/>
  <c r="I222" i="283"/>
  <c r="I223" i="283"/>
  <c r="I224" i="283"/>
  <c r="I225" i="283"/>
  <c r="I226" i="283"/>
  <c r="I227" i="283"/>
  <c r="I228" i="283"/>
  <c r="I229" i="283"/>
  <c r="I230" i="283"/>
  <c r="I231" i="283"/>
  <c r="I232" i="283"/>
  <c r="I233" i="283"/>
  <c r="I234" i="283"/>
  <c r="I235" i="283"/>
  <c r="I236" i="283"/>
  <c r="I237" i="283"/>
  <c r="I238" i="283"/>
  <c r="I239" i="283"/>
  <c r="I240" i="283"/>
  <c r="I241" i="283"/>
  <c r="I242" i="283"/>
  <c r="I243" i="283"/>
  <c r="I244" i="283"/>
  <c r="I245" i="283"/>
  <c r="I246" i="283"/>
  <c r="I247" i="283"/>
  <c r="I248" i="283"/>
  <c r="I249" i="283"/>
  <c r="I250" i="283"/>
  <c r="I251" i="283"/>
  <c r="I252" i="283"/>
  <c r="I253" i="283"/>
  <c r="I254" i="283"/>
  <c r="I255" i="283"/>
  <c r="I256" i="283"/>
  <c r="I257" i="283"/>
  <c r="I258" i="283"/>
  <c r="I259" i="283"/>
  <c r="I260" i="283"/>
  <c r="I261" i="283"/>
  <c r="I262" i="283"/>
  <c r="I263" i="283"/>
  <c r="I264" i="283"/>
  <c r="I265" i="283"/>
  <c r="I266" i="283"/>
  <c r="I267" i="283"/>
  <c r="I268" i="283"/>
  <c r="I269" i="283"/>
  <c r="I8" i="283"/>
  <c r="M192" i="283"/>
  <c r="M193" i="283"/>
  <c r="M200" i="283"/>
  <c r="M209" i="283"/>
  <c r="M218" i="283"/>
  <c r="M226" i="283"/>
  <c r="M240" i="283"/>
  <c r="M248" i="283"/>
  <c r="M252" i="283"/>
  <c r="M253" i="283"/>
  <c r="M255" i="283"/>
  <c r="M223" i="283" l="1"/>
  <c r="M260" i="283"/>
  <c r="M261" i="283"/>
  <c r="M239" i="283"/>
  <c r="M207" i="283"/>
  <c r="M225" i="283"/>
  <c r="M269" i="283"/>
  <c r="M215" i="283"/>
  <c r="M231" i="283"/>
  <c r="M202" i="283"/>
  <c r="M268" i="283"/>
  <c r="M257" i="283"/>
  <c r="M213" i="283"/>
  <c r="I270" i="283"/>
  <c r="J270" i="283"/>
  <c r="K270" i="283"/>
  <c r="L270" i="283"/>
  <c r="M237" i="283"/>
  <c r="M216" i="283"/>
  <c r="M242" i="283"/>
  <c r="M264" i="283"/>
  <c r="M199" i="283"/>
  <c r="M204" i="283"/>
  <c r="M230" i="283"/>
  <c r="M246" i="283"/>
  <c r="M219" i="283"/>
  <c r="M235" i="283"/>
  <c r="M251" i="283"/>
  <c r="M262" i="283"/>
  <c r="M267" i="283"/>
  <c r="M203" i="283"/>
  <c r="M208" i="283"/>
  <c r="M214" i="283"/>
  <c r="M224" i="283"/>
  <c r="M256" i="283"/>
  <c r="M198" i="283"/>
  <c r="M189" i="283"/>
  <c r="M62" i="283"/>
  <c r="M107" i="283"/>
  <c r="M57" i="283"/>
  <c r="M177" i="283"/>
  <c r="M38" i="283"/>
  <c r="M217" i="283"/>
  <c r="M18" i="283"/>
  <c r="M34" i="283"/>
  <c r="M50" i="283"/>
  <c r="M120" i="283"/>
  <c r="M136" i="283"/>
  <c r="M155" i="283"/>
  <c r="M190" i="283"/>
  <c r="M60" i="283"/>
  <c r="M105" i="283"/>
  <c r="M138" i="283"/>
  <c r="M76" i="283"/>
  <c r="M194" i="283"/>
  <c r="M205" i="283"/>
  <c r="M210" i="283"/>
  <c r="M23" i="283"/>
  <c r="M39" i="283"/>
  <c r="M55" i="283"/>
  <c r="M185" i="283"/>
  <c r="M77" i="283"/>
  <c r="M93" i="283"/>
  <c r="M103" i="283"/>
  <c r="M109" i="283"/>
  <c r="M125" i="283"/>
  <c r="M142" i="283"/>
  <c r="M161" i="283"/>
  <c r="M59" i="283"/>
  <c r="M195" i="283"/>
  <c r="M201" i="283"/>
  <c r="M206" i="283"/>
  <c r="M211" i="283"/>
  <c r="M222" i="283"/>
  <c r="M227" i="283"/>
  <c r="M233" i="283"/>
  <c r="M238" i="283"/>
  <c r="M243" i="283"/>
  <c r="M249" i="283"/>
  <c r="M254" i="283"/>
  <c r="M259" i="283"/>
  <c r="M265" i="283"/>
  <c r="M167" i="283"/>
  <c r="M196" i="283"/>
  <c r="M15" i="283"/>
  <c r="M117" i="283"/>
  <c r="M16" i="283"/>
  <c r="M58" i="283"/>
  <c r="M134" i="283"/>
  <c r="M175" i="283"/>
  <c r="M72" i="283"/>
  <c r="M37" i="283"/>
  <c r="M75" i="283"/>
  <c r="M139" i="283"/>
  <c r="M86" i="283"/>
  <c r="M118" i="283"/>
  <c r="M171" i="283"/>
  <c r="M22" i="283"/>
  <c r="M32" i="283"/>
  <c r="M54" i="283"/>
  <c r="M184" i="283"/>
  <c r="M92" i="283"/>
  <c r="M108" i="283"/>
  <c r="M124" i="283"/>
  <c r="M140" i="283"/>
  <c r="M160" i="283"/>
  <c r="M178" i="283"/>
  <c r="M87" i="283"/>
  <c r="M135" i="283"/>
  <c r="M172" i="283"/>
  <c r="M33" i="283"/>
  <c r="M119" i="283"/>
  <c r="M154" i="283"/>
  <c r="M179" i="283"/>
  <c r="M88" i="283"/>
  <c r="M104" i="283"/>
  <c r="M173" i="283"/>
  <c r="M13" i="283"/>
  <c r="M29" i="283"/>
  <c r="M99" i="283"/>
  <c r="M8" i="283"/>
  <c r="M19" i="283"/>
  <c r="M35" i="283"/>
  <c r="M45" i="283"/>
  <c r="M51" i="283"/>
  <c r="M168" i="283"/>
  <c r="M67" i="283"/>
  <c r="M73" i="283"/>
  <c r="M83" i="283"/>
  <c r="M89" i="283"/>
  <c r="M115" i="283"/>
  <c r="M121" i="283"/>
  <c r="M131" i="283"/>
  <c r="M137" i="283"/>
  <c r="M150" i="283"/>
  <c r="M156" i="283"/>
  <c r="M174" i="283"/>
  <c r="M31" i="283"/>
  <c r="M47" i="283"/>
  <c r="M170" i="283"/>
  <c r="M61" i="283"/>
  <c r="M69" i="283"/>
  <c r="M85" i="283"/>
  <c r="M101" i="283"/>
  <c r="M133" i="283"/>
  <c r="M152" i="283"/>
  <c r="M176" i="283"/>
  <c r="M9" i="283"/>
  <c r="M14" i="283"/>
  <c r="M20" i="283"/>
  <c r="M25" i="283"/>
  <c r="M30" i="283"/>
  <c r="M36" i="283"/>
  <c r="M41" i="283"/>
  <c r="M46" i="283"/>
  <c r="M52" i="283"/>
  <c r="M141" i="283"/>
  <c r="M56" i="283"/>
  <c r="M186" i="283"/>
  <c r="M68" i="283"/>
  <c r="M74" i="283"/>
  <c r="M84" i="283"/>
  <c r="M90" i="283"/>
  <c r="M95" i="283"/>
  <c r="M100" i="283"/>
  <c r="M106" i="283"/>
  <c r="M111" i="283"/>
  <c r="M116" i="283"/>
  <c r="M122" i="283"/>
  <c r="M127" i="283"/>
  <c r="M132" i="283"/>
  <c r="M146" i="283"/>
  <c r="M151" i="283"/>
  <c r="M158" i="283"/>
  <c r="M163" i="283"/>
  <c r="M169" i="283"/>
  <c r="M181" i="283"/>
  <c r="M10" i="283"/>
  <c r="M26" i="283"/>
  <c r="M42" i="283"/>
  <c r="M144" i="283"/>
  <c r="M64" i="283"/>
  <c r="M80" i="283"/>
  <c r="M96" i="283"/>
  <c r="M112" i="283"/>
  <c r="M128" i="283"/>
  <c r="M147" i="283"/>
  <c r="M164" i="283"/>
  <c r="M182" i="283"/>
  <c r="M21" i="283"/>
  <c r="M53" i="283"/>
  <c r="M91" i="283"/>
  <c r="M123" i="283"/>
  <c r="M159" i="283"/>
  <c r="M48" i="283"/>
  <c r="M70" i="283"/>
  <c r="M102" i="283"/>
  <c r="M153" i="283"/>
  <c r="M183" i="283"/>
  <c r="M17" i="283"/>
  <c r="M49" i="283"/>
  <c r="M71" i="283"/>
  <c r="M12" i="283"/>
  <c r="M28" i="283"/>
  <c r="M44" i="283"/>
  <c r="M157" i="283"/>
  <c r="M66" i="283"/>
  <c r="M82" i="283"/>
  <c r="M98" i="283"/>
  <c r="M114" i="283"/>
  <c r="M130" i="283"/>
  <c r="M149" i="283"/>
  <c r="M166" i="283"/>
  <c r="M187" i="283"/>
  <c r="M188" i="283"/>
  <c r="M24" i="283"/>
  <c r="M40" i="283"/>
  <c r="M63" i="283"/>
  <c r="M191" i="283"/>
  <c r="M78" i="283"/>
  <c r="M94" i="283"/>
  <c r="M110" i="283"/>
  <c r="M126" i="283"/>
  <c r="M143" i="283"/>
  <c r="M162" i="283"/>
  <c r="M180" i="283"/>
  <c r="M79" i="283"/>
  <c r="M11" i="283"/>
  <c r="M27" i="283"/>
  <c r="M43" i="283"/>
  <c r="M145" i="283"/>
  <c r="M65" i="283"/>
  <c r="M81" i="283"/>
  <c r="M97" i="283"/>
  <c r="M113" i="283"/>
  <c r="M129" i="283"/>
  <c r="M148" i="283"/>
  <c r="M165" i="283"/>
  <c r="D285" i="283"/>
  <c r="D284" i="283"/>
  <c r="D283" i="283"/>
  <c r="D282" i="283"/>
  <c r="D281" i="283"/>
  <c r="D280" i="283"/>
  <c r="D279" i="283"/>
  <c r="D278" i="283"/>
  <c r="D277" i="283"/>
  <c r="D276" i="283"/>
  <c r="D275" i="283"/>
  <c r="D274" i="283"/>
  <c r="M270" i="283" l="1"/>
  <c r="Q214" i="283"/>
  <c r="Q193" i="283"/>
  <c r="Q243" i="283"/>
  <c r="R243" i="283" s="1"/>
  <c r="Q258" i="283"/>
  <c r="R258" i="283" s="1"/>
  <c r="J284" i="283"/>
  <c r="L293" i="283"/>
  <c r="K293" i="283"/>
  <c r="J293" i="283"/>
  <c r="J285" i="283"/>
  <c r="L285" i="283"/>
  <c r="K285" i="283"/>
  <c r="J294" i="283"/>
  <c r="I284" i="283"/>
  <c r="I293" i="283"/>
  <c r="I294" i="283"/>
  <c r="I285" i="283"/>
  <c r="L284" i="283"/>
  <c r="K284" i="283"/>
  <c r="L294" i="283"/>
  <c r="K294" i="283"/>
  <c r="Q144" i="283"/>
  <c r="R144" i="283" s="1"/>
  <c r="Q42" i="283"/>
  <c r="R42" i="283" s="1"/>
  <c r="Q62" i="283"/>
  <c r="R62" i="283" s="1"/>
  <c r="Q51" i="283"/>
  <c r="R51" i="283" s="1"/>
  <c r="Q50" i="283"/>
  <c r="R50" i="283" s="1"/>
  <c r="Q54" i="283"/>
  <c r="R54" i="283" s="1"/>
  <c r="Q53" i="283"/>
  <c r="R53" i="283" s="1"/>
  <c r="Q41" i="283"/>
  <c r="R41" i="283" s="1"/>
  <c r="Q44" i="283"/>
  <c r="R44" i="283" s="1"/>
  <c r="Q60" i="283"/>
  <c r="R60" i="283" s="1"/>
  <c r="Q184" i="283"/>
  <c r="R184" i="283" s="1"/>
  <c r="Q157" i="283"/>
  <c r="R157" i="283" s="1"/>
  <c r="Q141" i="283"/>
  <c r="R141" i="283" s="1"/>
  <c r="Q61" i="283"/>
  <c r="R61" i="283" s="1"/>
  <c r="Q185" i="283"/>
  <c r="R185" i="283" s="1"/>
  <c r="Q58" i="283"/>
  <c r="R58" i="283" s="1"/>
  <c r="Q46" i="283"/>
  <c r="R46" i="283" s="1"/>
  <c r="Q63" i="283"/>
  <c r="R63" i="283" s="1"/>
  <c r="Q170" i="283"/>
  <c r="R170" i="283" s="1"/>
  <c r="Q145" i="283"/>
  <c r="R145" i="283" s="1"/>
  <c r="Q52" i="283"/>
  <c r="R52" i="283" s="1"/>
  <c r="Q49" i="283"/>
  <c r="R49" i="283" s="1"/>
  <c r="Q45" i="283"/>
  <c r="R45" i="283" s="1"/>
  <c r="Q55" i="283"/>
  <c r="R55" i="283" s="1"/>
  <c r="Q179" i="283"/>
  <c r="R179" i="283" s="1"/>
  <c r="Q56" i="283"/>
  <c r="R56" i="283" s="1"/>
  <c r="Q48" i="283"/>
  <c r="R48" i="283" s="1"/>
  <c r="Q175" i="283"/>
  <c r="R175" i="283" s="1"/>
  <c r="Q168" i="283"/>
  <c r="R168" i="283" s="1"/>
  <c r="Q47" i="283"/>
  <c r="R47" i="283" s="1"/>
  <c r="Q43" i="283"/>
  <c r="R43" i="283" s="1"/>
  <c r="L292" i="283" l="1"/>
  <c r="K292" i="283"/>
  <c r="J292" i="283"/>
  <c r="M285" i="283"/>
  <c r="M294" i="283"/>
  <c r="Q294" i="283" s="1"/>
  <c r="R294" i="283" s="1"/>
  <c r="M293" i="283"/>
  <c r="Q293" i="283" s="1"/>
  <c r="R293" i="283" s="1"/>
  <c r="M284" i="283"/>
  <c r="J281" i="283"/>
  <c r="K283" i="283"/>
  <c r="R193" i="283"/>
  <c r="J282" i="283"/>
  <c r="I283" i="283"/>
  <c r="L283" i="283"/>
  <c r="J283" i="283"/>
  <c r="I282" i="283"/>
  <c r="I281" i="283"/>
  <c r="L281" i="283"/>
  <c r="K281" i="283"/>
  <c r="L282" i="283"/>
  <c r="K282" i="283"/>
  <c r="Q33" i="283"/>
  <c r="R33" i="283" s="1"/>
  <c r="Q31" i="283"/>
  <c r="R31" i="283" s="1"/>
  <c r="Q29" i="283"/>
  <c r="R29" i="283" s="1"/>
  <c r="Q25" i="283"/>
  <c r="R25" i="283" s="1"/>
  <c r="Q30" i="283"/>
  <c r="R30" i="283" s="1"/>
  <c r="Q34" i="283"/>
  <c r="R34" i="283" s="1"/>
  <c r="Q32" i="283"/>
  <c r="R32" i="283" s="1"/>
  <c r="Q24" i="283"/>
  <c r="R24" i="283" s="1"/>
  <c r="Q26" i="283"/>
  <c r="R26" i="283" s="1"/>
  <c r="Q23" i="283"/>
  <c r="R23" i="283" s="1"/>
  <c r="Q16" i="283"/>
  <c r="R16" i="283" s="1"/>
  <c r="Q17" i="283"/>
  <c r="R17" i="283" s="1"/>
  <c r="Q21" i="283"/>
  <c r="R21" i="283" s="1"/>
  <c r="Q22" i="283"/>
  <c r="R22" i="283" s="1"/>
  <c r="Q10" i="283"/>
  <c r="R10" i="283" s="1"/>
  <c r="Q19" i="283"/>
  <c r="R19" i="283" s="1"/>
  <c r="Q20" i="283"/>
  <c r="R20" i="283" s="1"/>
  <c r="Q27" i="283"/>
  <c r="R27" i="283" s="1"/>
  <c r="Q28" i="283"/>
  <c r="R28" i="283" s="1"/>
  <c r="Q18" i="283"/>
  <c r="R18" i="283" s="1"/>
  <c r="Q9" i="283"/>
  <c r="R9" i="283" s="1"/>
  <c r="Q189" i="283"/>
  <c r="R189" i="283" s="1"/>
  <c r="Q176" i="283"/>
  <c r="R176" i="283" s="1"/>
  <c r="I291" i="283"/>
  <c r="I292" i="283"/>
  <c r="Q171" i="283"/>
  <c r="R171" i="283" s="1"/>
  <c r="Q158" i="283"/>
  <c r="R158" i="283" s="1"/>
  <c r="Q57" i="283"/>
  <c r="R57" i="283" s="1"/>
  <c r="I274" i="283"/>
  <c r="Q169" i="283"/>
  <c r="R169" i="283" s="1"/>
  <c r="Q153" i="283"/>
  <c r="Q124" i="283"/>
  <c r="Q97" i="283"/>
  <c r="Q82" i="283"/>
  <c r="Q70" i="283"/>
  <c r="Q39" i="283"/>
  <c r="Q183" i="283"/>
  <c r="R183" i="283" s="1"/>
  <c r="Q163" i="283"/>
  <c r="R163" i="283" s="1"/>
  <c r="Q100" i="283"/>
  <c r="Q156" i="283"/>
  <c r="Q127" i="283"/>
  <c r="Q112" i="283"/>
  <c r="Q85" i="283"/>
  <c r="R85" i="283" s="1"/>
  <c r="Q73" i="283"/>
  <c r="L279" i="283"/>
  <c r="Q167" i="283"/>
  <c r="R167" i="283" s="1"/>
  <c r="Q86" i="283"/>
  <c r="L280" i="283"/>
  <c r="K279" i="283"/>
  <c r="I280" i="283"/>
  <c r="Q150" i="283"/>
  <c r="K280" i="283"/>
  <c r="Q59" i="283"/>
  <c r="R59" i="283" s="1"/>
  <c r="Q166" i="283"/>
  <c r="R166" i="283" s="1"/>
  <c r="Q128" i="283"/>
  <c r="J280" i="283"/>
  <c r="Q155" i="283"/>
  <c r="Q111" i="283"/>
  <c r="Q126" i="283"/>
  <c r="Q99" i="283"/>
  <c r="Q84" i="283"/>
  <c r="Q72" i="283"/>
  <c r="Q172" i="283"/>
  <c r="R172" i="283" s="1"/>
  <c r="Q159" i="283"/>
  <c r="R159" i="283" s="1"/>
  <c r="Q113" i="283"/>
  <c r="I279" i="283"/>
  <c r="Q74" i="283"/>
  <c r="Q129" i="283"/>
  <c r="Q117" i="283"/>
  <c r="Q90" i="283"/>
  <c r="Q151" i="283"/>
  <c r="Q122" i="283"/>
  <c r="Q109" i="283"/>
  <c r="Q95" i="283"/>
  <c r="Q80" i="283"/>
  <c r="Q69" i="283"/>
  <c r="Q37" i="283"/>
  <c r="Q187" i="283"/>
  <c r="R187" i="283" s="1"/>
  <c r="Q174" i="283"/>
  <c r="R174" i="283" s="1"/>
  <c r="Q161" i="283"/>
  <c r="R161" i="283" s="1"/>
  <c r="J279" i="283"/>
  <c r="Q138" i="283"/>
  <c r="Q76" i="283"/>
  <c r="Q146" i="283"/>
  <c r="Q116" i="283"/>
  <c r="Q121" i="283"/>
  <c r="Q173" i="283"/>
  <c r="R173" i="283" s="1"/>
  <c r="Q160" i="283"/>
  <c r="R160" i="283" s="1"/>
  <c r="Q132" i="283"/>
  <c r="Q192" i="283"/>
  <c r="R192" i="283" s="1"/>
  <c r="Q178" i="283"/>
  <c r="R178" i="283" s="1"/>
  <c r="Q165" i="283"/>
  <c r="R165" i="283" s="1"/>
  <c r="Q133" i="283"/>
  <c r="Q105" i="283"/>
  <c r="Q64" i="283"/>
  <c r="Q104" i="283"/>
  <c r="Q108" i="283"/>
  <c r="Q94" i="283"/>
  <c r="Q36" i="283"/>
  <c r="Q89" i="283"/>
  <c r="Q137" i="283"/>
  <c r="Q68" i="283"/>
  <c r="Q131" i="283"/>
  <c r="Q115" i="283"/>
  <c r="Q103" i="283"/>
  <c r="Q88" i="283"/>
  <c r="Q75" i="283"/>
  <c r="Q149" i="283"/>
  <c r="Q136" i="283"/>
  <c r="Q120" i="283"/>
  <c r="Q107" i="283"/>
  <c r="Q93" i="283"/>
  <c r="Q79" i="283"/>
  <c r="Q67" i="283"/>
  <c r="Q35" i="283"/>
  <c r="Q154" i="283"/>
  <c r="Q140" i="283"/>
  <c r="Q125" i="283"/>
  <c r="Q98" i="283"/>
  <c r="Q83" i="283"/>
  <c r="Q71" i="283"/>
  <c r="Q40" i="283"/>
  <c r="Q143" i="283"/>
  <c r="Q130" i="283"/>
  <c r="Q114" i="283"/>
  <c r="Q102" i="283"/>
  <c r="Q186" i="283"/>
  <c r="Q148" i="283"/>
  <c r="Q135" i="283"/>
  <c r="Q119" i="283"/>
  <c r="Q92" i="283"/>
  <c r="Q78" i="283"/>
  <c r="Q66" i="283"/>
  <c r="Q190" i="283"/>
  <c r="R190" i="283" s="1"/>
  <c r="Q177" i="283"/>
  <c r="R177" i="283" s="1"/>
  <c r="Q164" i="283"/>
  <c r="R164" i="283" s="1"/>
  <c r="Q181" i="283"/>
  <c r="R181" i="283" s="1"/>
  <c r="Q142" i="283"/>
  <c r="Q101" i="283"/>
  <c r="Q87" i="283"/>
  <c r="Q191" i="283"/>
  <c r="Q147" i="283"/>
  <c r="Q134" i="283"/>
  <c r="Q118" i="283"/>
  <c r="Q106" i="283"/>
  <c r="Q91" i="283"/>
  <c r="Q77" i="283"/>
  <c r="Q65" i="283"/>
  <c r="Q152" i="283"/>
  <c r="Q139" i="283"/>
  <c r="Q123" i="283"/>
  <c r="Q110" i="283"/>
  <c r="Q96" i="283"/>
  <c r="Q81" i="283"/>
  <c r="Q38" i="283"/>
  <c r="Q180" i="283"/>
  <c r="R180" i="283" s="1"/>
  <c r="Q182" i="283"/>
  <c r="R182" i="283" s="1"/>
  <c r="Q188" i="283"/>
  <c r="R188" i="283" s="1"/>
  <c r="Q162" i="283"/>
  <c r="R162" i="283" s="1"/>
  <c r="Q284" i="283" l="1"/>
  <c r="R284" i="283" s="1"/>
  <c r="F14" i="139"/>
  <c r="G14" i="139" s="1"/>
  <c r="Q285" i="283"/>
  <c r="R285" i="283" s="1"/>
  <c r="F15" i="139"/>
  <c r="G15" i="139" s="1"/>
  <c r="Q12" i="283"/>
  <c r="M292" i="283"/>
  <c r="M281" i="283"/>
  <c r="F11" i="139" s="1"/>
  <c r="G11" i="139" s="1"/>
  <c r="M282" i="283"/>
  <c r="M283" i="283"/>
  <c r="M279" i="283"/>
  <c r="R214" i="283"/>
  <c r="M280" i="283"/>
  <c r="F10" i="139" s="1"/>
  <c r="G10" i="139" s="1"/>
  <c r="Q279" i="283" l="1"/>
  <c r="R279" i="283" s="1"/>
  <c r="F9" i="139"/>
  <c r="G9" i="139" s="1"/>
  <c r="Q283" i="283"/>
  <c r="R283" i="283" s="1"/>
  <c r="F13" i="139"/>
  <c r="G13" i="139" s="1"/>
  <c r="Q282" i="283"/>
  <c r="R282" i="283" s="1"/>
  <c r="F12" i="139"/>
  <c r="G12" i="139" s="1"/>
  <c r="Q281" i="283"/>
  <c r="J274" i="283"/>
  <c r="R281" i="283" l="1"/>
  <c r="L274" i="283" l="1"/>
  <c r="K274" i="283"/>
  <c r="K278" i="283" l="1"/>
  <c r="L276" i="283"/>
  <c r="J278" i="283"/>
  <c r="K276" i="283"/>
  <c r="L278" i="283"/>
  <c r="J277" i="283"/>
  <c r="K291" i="283"/>
  <c r="L291" i="283"/>
  <c r="J275" i="283"/>
  <c r="J291" i="283"/>
  <c r="K275" i="283"/>
  <c r="L275" i="283"/>
  <c r="J276" i="283"/>
  <c r="K277" i="283"/>
  <c r="L277" i="283"/>
  <c r="M274" i="283"/>
  <c r="F4" i="139" s="1"/>
  <c r="G4" i="139" s="1"/>
  <c r="L286" i="283" l="1"/>
  <c r="K286" i="283"/>
  <c r="J286" i="283"/>
  <c r="Q274" i="283"/>
  <c r="K290" i="283"/>
  <c r="J290" i="283"/>
  <c r="L290" i="283"/>
  <c r="M277" i="283"/>
  <c r="F7" i="139" s="1"/>
  <c r="G7" i="139" s="1"/>
  <c r="M276" i="283"/>
  <c r="F6" i="139" s="1"/>
  <c r="G6" i="139" s="1"/>
  <c r="M278" i="283"/>
  <c r="F8" i="139" s="1"/>
  <c r="G8" i="139" s="1"/>
  <c r="M275" i="283"/>
  <c r="M291" i="283"/>
  <c r="M286" i="283" l="1"/>
  <c r="M290" i="283"/>
  <c r="R274" i="283"/>
  <c r="R38" i="283" l="1"/>
  <c r="R39" i="283"/>
  <c r="I276" i="283"/>
  <c r="I277" i="283"/>
  <c r="Q280" i="283"/>
  <c r="Q277" i="283" l="1"/>
  <c r="Q276" i="283"/>
  <c r="I275" i="283"/>
  <c r="I278" i="283"/>
  <c r="Q278" i="283" l="1"/>
  <c r="I286" i="283"/>
  <c r="Q275" i="283"/>
  <c r="I290" i="283"/>
  <c r="Q270" i="283"/>
  <c r="R270" i="283" s="1"/>
  <c r="Q286" i="283" l="1"/>
  <c r="Q292" i="283" l="1"/>
  <c r="Q291" i="283"/>
  <c r="R291" i="283" s="1"/>
  <c r="Q290" i="283"/>
  <c r="I298" i="283" l="1"/>
  <c r="R103" i="283" l="1"/>
  <c r="R66" i="283"/>
  <c r="R131" i="283"/>
  <c r="R106" i="283"/>
  <c r="R83" i="283"/>
  <c r="R132" i="283"/>
  <c r="R138" i="283"/>
  <c r="R152" i="283"/>
  <c r="R143" i="283"/>
  <c r="R130" i="283"/>
  <c r="R102" i="283"/>
  <c r="R139" i="283"/>
  <c r="R12" i="283"/>
  <c r="R155" i="283"/>
  <c r="R84" i="283"/>
  <c r="R111" i="283"/>
  <c r="F5" i="139"/>
  <c r="G5" i="139" s="1"/>
  <c r="R95" i="283"/>
  <c r="R107" i="283"/>
  <c r="R71" i="283"/>
  <c r="R115" i="283"/>
  <c r="R88" i="283"/>
  <c r="R65" i="283"/>
  <c r="R150" i="283"/>
  <c r="R127" i="283"/>
  <c r="R77" i="283"/>
  <c r="R129" i="283"/>
  <c r="R98" i="283"/>
  <c r="R126" i="283"/>
  <c r="R104" i="283"/>
  <c r="R134" i="283"/>
  <c r="R82" i="283"/>
  <c r="R110" i="283"/>
  <c r="R67" i="283"/>
  <c r="Q8" i="283"/>
  <c r="R156" i="283"/>
  <c r="R123" i="283"/>
  <c r="Q11" i="283"/>
  <c r="R11" i="283" s="1"/>
  <c r="R136" i="283"/>
  <c r="R91" i="283"/>
  <c r="R116" i="283"/>
  <c r="R137" i="283"/>
  <c r="R118" i="283"/>
  <c r="R94" i="283"/>
  <c r="R68" i="283"/>
  <c r="R81" i="283"/>
  <c r="R122" i="283"/>
  <c r="R153" i="283"/>
  <c r="R128" i="283"/>
  <c r="R79" i="283"/>
  <c r="R73" i="283"/>
  <c r="R89" i="283"/>
  <c r="R186" i="283"/>
  <c r="R87" i="283"/>
  <c r="R92" i="283"/>
  <c r="R112" i="283"/>
  <c r="R101" i="283"/>
  <c r="R40" i="283"/>
  <c r="R96" i="283"/>
  <c r="R64" i="283"/>
  <c r="R140" i="283"/>
  <c r="R135" i="283"/>
  <c r="R97" i="283"/>
  <c r="R69" i="283"/>
  <c r="R124" i="283"/>
  <c r="R76" i="283"/>
  <c r="R191" i="283"/>
  <c r="R36" i="283"/>
  <c r="R75" i="283"/>
  <c r="R72" i="283"/>
  <c r="R119" i="283"/>
  <c r="R93" i="283"/>
  <c r="R148" i="283"/>
  <c r="R108" i="283"/>
  <c r="R100" i="283"/>
  <c r="R80" i="283"/>
  <c r="R78" i="283"/>
  <c r="R37" i="283"/>
  <c r="R120" i="283"/>
  <c r="R99" i="283"/>
  <c r="R114" i="283"/>
  <c r="R90" i="283"/>
  <c r="R70" i="283"/>
  <c r="R105" i="283"/>
  <c r="R125" i="283"/>
  <c r="R113" i="283"/>
  <c r="R74" i="283"/>
  <c r="R142" i="283"/>
  <c r="R117" i="283"/>
  <c r="F16" i="139" l="1"/>
  <c r="G16" i="139" s="1"/>
  <c r="R133" i="283"/>
  <c r="R147" i="283"/>
  <c r="R280" i="283"/>
  <c r="R149" i="283"/>
  <c r="R278" i="283"/>
  <c r="R151" i="283"/>
  <c r="R277" i="283"/>
  <c r="R121" i="283"/>
  <c r="R109" i="283"/>
  <c r="R154" i="283"/>
  <c r="R292" i="283"/>
  <c r="M298" i="283"/>
  <c r="K298" i="283"/>
  <c r="R146" i="283"/>
  <c r="J298" i="283"/>
  <c r="L298" i="283"/>
  <c r="R275" i="283"/>
  <c r="R86" i="283"/>
  <c r="R276" i="283"/>
  <c r="R35" i="283"/>
  <c r="R8" i="283"/>
  <c r="Q298" i="283" l="1"/>
  <c r="R298" i="283" s="1"/>
  <c r="P298" i="283"/>
  <c r="O298" i="283"/>
  <c r="N298" i="283"/>
  <c r="R290" i="283"/>
  <c r="R286" i="283"/>
  <c r="F50" i="139" l="1"/>
  <c r="F43" i="139" l="1"/>
  <c r="F42" i="139"/>
  <c r="F52" i="139"/>
  <c r="F48" i="139"/>
  <c r="F47" i="139"/>
  <c r="F45" i="139"/>
  <c r="F40" i="139"/>
  <c r="F46" i="139"/>
  <c r="F41" i="139"/>
  <c r="F51" i="139"/>
  <c r="F53" i="139"/>
</calcChain>
</file>

<file path=xl/sharedStrings.xml><?xml version="1.0" encoding="utf-8"?>
<sst xmlns="http://schemas.openxmlformats.org/spreadsheetml/2006/main" count="4157" uniqueCount="700">
  <si>
    <t>Observed</t>
  </si>
  <si>
    <t>Difference</t>
  </si>
  <si>
    <t>STOPS (Adjusted)</t>
  </si>
  <si>
    <t>Total</t>
  </si>
  <si>
    <t>Average WeekdayBoardings by Mode/Agency</t>
  </si>
  <si>
    <t>Mode/Agency</t>
  </si>
  <si>
    <t>HR</t>
  </si>
  <si>
    <t>LRT</t>
  </si>
  <si>
    <t>CR</t>
  </si>
  <si>
    <t>Ferry</t>
  </si>
  <si>
    <t>Silver Line</t>
  </si>
  <si>
    <t>MBTA Bus</t>
  </si>
  <si>
    <t>MBTA Key Bus</t>
  </si>
  <si>
    <t>CATA Bus</t>
  </si>
  <si>
    <t>MWRTA Bus</t>
  </si>
  <si>
    <t>MVRTA Bus</t>
  </si>
  <si>
    <t>BAT Bus</t>
  </si>
  <si>
    <t>Transit Linked Trips Detail</t>
  </si>
  <si>
    <t>FG Only</t>
  </si>
  <si>
    <t>FG + Bus</t>
  </si>
  <si>
    <t>FG All</t>
  </si>
  <si>
    <t>Bus Only</t>
  </si>
  <si>
    <t>PnR - FG Only</t>
  </si>
  <si>
    <t>PnR - FG + Bus</t>
  </si>
  <si>
    <t>PnR - FG All</t>
  </si>
  <si>
    <t>PnR - Bus Only</t>
  </si>
  <si>
    <t>KnR - FG Only</t>
  </si>
  <si>
    <t>KnR - FG + Bus</t>
  </si>
  <si>
    <t>KnR - FG All</t>
  </si>
  <si>
    <t>KnR - Bus Only</t>
  </si>
  <si>
    <t>Table    10.01 (Route Level Ridership by Access Mode)</t>
  </si>
  <si>
    <t>Table10.01</t>
  </si>
  <si>
    <t>%</t>
  </si>
  <si>
    <t>route_id</t>
  </si>
  <si>
    <t>route_long_name</t>
  </si>
  <si>
    <t>Group</t>
  </si>
  <si>
    <t>Ridership</t>
  </si>
  <si>
    <t>Route_ID</t>
  </si>
  <si>
    <t>Route Name</t>
  </si>
  <si>
    <t>Route #</t>
  </si>
  <si>
    <t>Agency</t>
  </si>
  <si>
    <t>Mode</t>
  </si>
  <si>
    <t>WLK</t>
  </si>
  <si>
    <t>KNR</t>
  </si>
  <si>
    <t>PNR</t>
  </si>
  <si>
    <t>ALL</t>
  </si>
  <si>
    <t>Diff</t>
  </si>
  <si>
    <t>Red&amp;T</t>
  </si>
  <si>
    <t>Red Line</t>
  </si>
  <si>
    <t>Mattapan&amp;T</t>
  </si>
  <si>
    <t>Mattapan Trolley</t>
  </si>
  <si>
    <t>Red</t>
  </si>
  <si>
    <t>MBTA HRT</t>
  </si>
  <si>
    <t>Orange&amp;T</t>
  </si>
  <si>
    <t>Orange Line</t>
  </si>
  <si>
    <t>Orange</t>
  </si>
  <si>
    <t>Green-B&amp;T</t>
  </si>
  <si>
    <t>Green Line B</t>
  </si>
  <si>
    <t>Blue&amp;T</t>
  </si>
  <si>
    <t>Blue Line</t>
  </si>
  <si>
    <t>Blue</t>
  </si>
  <si>
    <t>Green-C&amp;T</t>
  </si>
  <si>
    <t>Green Line C</t>
  </si>
  <si>
    <t>Mattapan</t>
  </si>
  <si>
    <t>MBTA LRT</t>
  </si>
  <si>
    <t>Green-D&amp;T</t>
  </si>
  <si>
    <t>Green Line D</t>
  </si>
  <si>
    <t>Green-B</t>
  </si>
  <si>
    <t>Green-E&amp;T</t>
  </si>
  <si>
    <t>Green Line E</t>
  </si>
  <si>
    <t>Green-C</t>
  </si>
  <si>
    <t>Green-D</t>
  </si>
  <si>
    <t>741&amp;T</t>
  </si>
  <si>
    <t>Logan Airport Terminals - South Station</t>
  </si>
  <si>
    <t>Green-E</t>
  </si>
  <si>
    <t>742&amp;T</t>
  </si>
  <si>
    <t>Design Center - South Station</t>
  </si>
  <si>
    <t>CR-Fairmount&amp;T</t>
  </si>
  <si>
    <t>Fairmount Line</t>
  </si>
  <si>
    <t>CR-Fairmount</t>
  </si>
  <si>
    <t>MBTA Commuter Rail</t>
  </si>
  <si>
    <t>743&amp;T</t>
  </si>
  <si>
    <t>Chelsea Station - South Station</t>
  </si>
  <si>
    <t>CR-Fitchburg&amp;T</t>
  </si>
  <si>
    <t>Fitchburg Line</t>
  </si>
  <si>
    <t>CR-Fitchburg</t>
  </si>
  <si>
    <t>751&amp;T</t>
  </si>
  <si>
    <t>Nubian Station - South Station</t>
  </si>
  <si>
    <t>CR-Worcester&amp;T</t>
  </si>
  <si>
    <t>Framingham/Worcester Line</t>
  </si>
  <si>
    <t>CR-Worcester</t>
  </si>
  <si>
    <t>749&amp;T</t>
  </si>
  <si>
    <t>Nubian Station - Temple Place</t>
  </si>
  <si>
    <t>CR-Franklin&amp;T</t>
  </si>
  <si>
    <t>Franklin/Foxboro Line</t>
  </si>
  <si>
    <t>CR-Franklin</t>
  </si>
  <si>
    <t>746&amp;T</t>
  </si>
  <si>
    <t>Silver Line Way - South Station</t>
  </si>
  <si>
    <t>CR-Greenbush&amp;T</t>
  </si>
  <si>
    <t>Greenbush Line</t>
  </si>
  <si>
    <t>CR-Greenbush</t>
  </si>
  <si>
    <t>CR-Haverhill&amp;T</t>
  </si>
  <si>
    <t>Haverhill Line</t>
  </si>
  <si>
    <t>CR-Haverhill</t>
  </si>
  <si>
    <t>CR-Kingston&amp;T</t>
  </si>
  <si>
    <t>Kingston Line</t>
  </si>
  <si>
    <t>CR-Kingston</t>
  </si>
  <si>
    <t>CR-Lowell&amp;T</t>
  </si>
  <si>
    <t>Lowell Line</t>
  </si>
  <si>
    <t>CR-Lowell</t>
  </si>
  <si>
    <t>CR-Middleborough&amp;T</t>
  </si>
  <si>
    <t>Middleborough/Lakeville Line</t>
  </si>
  <si>
    <t>CR-Middleborough</t>
  </si>
  <si>
    <t>CR-Needham&amp;T</t>
  </si>
  <si>
    <t>Needham Line</t>
  </si>
  <si>
    <t>CR-Needham</t>
  </si>
  <si>
    <t>CR-Newburyport&amp;T</t>
  </si>
  <si>
    <t>Newburyport/Rockport Line</t>
  </si>
  <si>
    <t>CR-Newburyport</t>
  </si>
  <si>
    <t>CR-Providence&amp;T</t>
  </si>
  <si>
    <t>Providence/Stoughton Line</t>
  </si>
  <si>
    <t>CR-Providence</t>
  </si>
  <si>
    <t>CR-Foxboro&amp;T</t>
  </si>
  <si>
    <t>Foxboro Event Service</t>
  </si>
  <si>
    <t>CR-Foxboro</t>
  </si>
  <si>
    <t>CapeFlyer&amp;T</t>
  </si>
  <si>
    <t>CapeFLYER</t>
  </si>
  <si>
    <t>CapeFlyer</t>
  </si>
  <si>
    <t>Boat-F4&amp;T</t>
  </si>
  <si>
    <t>Charlestown Ferry</t>
  </si>
  <si>
    <t>Boat-F4</t>
  </si>
  <si>
    <t>MBTA Ferry</t>
  </si>
  <si>
    <t>Boat-F1&amp;T</t>
  </si>
  <si>
    <t>Hingham/Hull Ferry</t>
  </si>
  <si>
    <t>Boat-F1</t>
  </si>
  <si>
    <t>Boat-EastBoston&amp;T</t>
  </si>
  <si>
    <t>East Boston Ferry</t>
  </si>
  <si>
    <t>Boat-EastBoston</t>
  </si>
  <si>
    <t>Boat-Lynn&amp;T</t>
  </si>
  <si>
    <t>Lynn Ferry</t>
  </si>
  <si>
    <t>Boat-Lynn</t>
  </si>
  <si>
    <t>Boat-F6&amp;T</t>
  </si>
  <si>
    <t>Winthrop/Quincy Ferry</t>
  </si>
  <si>
    <t>Boat-F6</t>
  </si>
  <si>
    <t>MBTA Key Bus (SL)</t>
  </si>
  <si>
    <t>747&amp;T</t>
  </si>
  <si>
    <t>Sullivan Square Station - Ruggles Station</t>
  </si>
  <si>
    <t>708&amp;T</t>
  </si>
  <si>
    <t>Beth Israel Deaconess Hospital - Andrew Station</t>
  </si>
  <si>
    <t>1&amp;T</t>
  </si>
  <si>
    <t>Harvard Square - Nubian Station</t>
  </si>
  <si>
    <t>15&amp;T</t>
  </si>
  <si>
    <t>Fields Corner Station or St Peter's Square - Ruggles Station</t>
  </si>
  <si>
    <t>4&amp;T</t>
  </si>
  <si>
    <t>North Station - Design Center</t>
  </si>
  <si>
    <t>22&amp;T</t>
  </si>
  <si>
    <t>Ashmont Station - Ruggles Station via Talbot Ave</t>
  </si>
  <si>
    <t>7&amp;T</t>
  </si>
  <si>
    <t>City Point - Otis Street &amp; Summer Street</t>
  </si>
  <si>
    <t>23&amp;T</t>
  </si>
  <si>
    <t>Ashmont Station - Ruggles Station via Washington Street</t>
  </si>
  <si>
    <t>8&amp;T</t>
  </si>
  <si>
    <t>Harbor Point - Kenmore Station</t>
  </si>
  <si>
    <t>28&amp;T</t>
  </si>
  <si>
    <t>Mattapan Station - Ruggles Station</t>
  </si>
  <si>
    <t>9&amp;T</t>
  </si>
  <si>
    <t>City Point - Copley Square</t>
  </si>
  <si>
    <t>32&amp;T</t>
  </si>
  <si>
    <t>Wolcott or Cleary Square - Forest Hills Station</t>
  </si>
  <si>
    <t>10&amp;T</t>
  </si>
  <si>
    <t>39&amp;T</t>
  </si>
  <si>
    <t>Forest Hills Station - Back Bay Station</t>
  </si>
  <si>
    <t>11&amp;T</t>
  </si>
  <si>
    <t>City Point - Chauncy Street &amp; Summer Street</t>
  </si>
  <si>
    <t>57&amp;T</t>
  </si>
  <si>
    <t>Watertown Yard - Kenmore Station</t>
  </si>
  <si>
    <t>14&amp;T</t>
  </si>
  <si>
    <t>Roslindale Square - Heath Street</t>
  </si>
  <si>
    <t>66&amp;T</t>
  </si>
  <si>
    <t>71&amp;T</t>
  </si>
  <si>
    <t>Watertown Square - Harvard Station</t>
  </si>
  <si>
    <t>16&amp;T</t>
  </si>
  <si>
    <t>Forest Hills Station - Andrew Station or Harbor Point</t>
  </si>
  <si>
    <t>73&amp;T</t>
  </si>
  <si>
    <t>Waverley Square - Harvard Station</t>
  </si>
  <si>
    <t>17&amp;T</t>
  </si>
  <si>
    <t>Fields Corner Station - Andrew Station</t>
  </si>
  <si>
    <t>77&amp;T</t>
  </si>
  <si>
    <t>Arlington Heights - Harvard Station</t>
  </si>
  <si>
    <t>18&amp;T</t>
  </si>
  <si>
    <t>Ashmont Station - Andrew Station</t>
  </si>
  <si>
    <t>111&amp;T</t>
  </si>
  <si>
    <t>Woodlawn - Haymarket Station</t>
  </si>
  <si>
    <t>19&amp;T</t>
  </si>
  <si>
    <t>Fields Corner Station - Kenmore or Ruggles Station</t>
  </si>
  <si>
    <t>116&amp;T</t>
  </si>
  <si>
    <t>Wonderland Station - Maverick Station via Revere Street</t>
  </si>
  <si>
    <t>21&amp;T</t>
  </si>
  <si>
    <t>Ashmont Station - Forest Hills Station</t>
  </si>
  <si>
    <t>117&amp;T</t>
  </si>
  <si>
    <t>Wonderland Station - Maverick Station via Beach Street</t>
  </si>
  <si>
    <t>121&amp;T</t>
  </si>
  <si>
    <t>Wood Island Station - Maverick Station</t>
  </si>
  <si>
    <t>24&amp;T</t>
  </si>
  <si>
    <t>Wakefield Avenue &amp; Truman Parkway - Ashmont Station</t>
  </si>
  <si>
    <t>131&amp;T</t>
  </si>
  <si>
    <t>Melrose Highlands - Malden Center Station</t>
  </si>
  <si>
    <t>26&amp;T</t>
  </si>
  <si>
    <t>Ashmont Station - Norfolk Street Loop</t>
  </si>
  <si>
    <t>217&amp;T</t>
  </si>
  <si>
    <t>Quincy Center Station - Ashmont Station via Wollaston Station</t>
  </si>
  <si>
    <t>351&amp;T</t>
  </si>
  <si>
    <t>Bedford Woods Drive - Third Avenue</t>
  </si>
  <si>
    <t>29&amp;T</t>
  </si>
  <si>
    <t>Mattapan Station - Jackson Square Station</t>
  </si>
  <si>
    <t>354&amp;T</t>
  </si>
  <si>
    <t>North Burlington - State Street, Boston</t>
  </si>
  <si>
    <t>30&amp;T</t>
  </si>
  <si>
    <t>Mattapan Station - Forest Hills Station via Cummins Highway and Roslindale Squar</t>
  </si>
  <si>
    <t>424&amp;T</t>
  </si>
  <si>
    <t>Eastern Avenue &amp; Essex Street - Wonderland Station</t>
  </si>
  <si>
    <t>31&amp;T</t>
  </si>
  <si>
    <t>Mattapan Station - Forest Hills Station via Morton Street</t>
  </si>
  <si>
    <t>428&amp;T</t>
  </si>
  <si>
    <t>Oaklandvale - Haymarket Station</t>
  </si>
  <si>
    <t>439&amp;T</t>
  </si>
  <si>
    <t>Nahant - Wonderland Station</t>
  </si>
  <si>
    <t>3233&amp;T</t>
  </si>
  <si>
    <t>River Street &amp; Milton Street - Mattapan Station</t>
  </si>
  <si>
    <t>451&amp;T</t>
  </si>
  <si>
    <t>North Beverly Station - Salem Depot</t>
  </si>
  <si>
    <t>33&amp;T</t>
  </si>
  <si>
    <t>501&amp;T</t>
  </si>
  <si>
    <t>Brighton Center - Federal Street &amp; Franklin Street</t>
  </si>
  <si>
    <t>34&amp;T</t>
  </si>
  <si>
    <t>Dedham Square - Forest Hills Station</t>
  </si>
  <si>
    <t>504&amp;T</t>
  </si>
  <si>
    <t>Watertown Yard - Federal Street &amp; Franklin Street</t>
  </si>
  <si>
    <t>34E&amp;T</t>
  </si>
  <si>
    <t>Walpole Center - Forest Hills Station</t>
  </si>
  <si>
    <t>505&amp;T</t>
  </si>
  <si>
    <t>Waltham Center - Federal Street &amp; Franklin Street</t>
  </si>
  <si>
    <t>35&amp;T</t>
  </si>
  <si>
    <t>Dedham Mall or Stimson Street - Forest Hills Station</t>
  </si>
  <si>
    <t>556&amp;T</t>
  </si>
  <si>
    <t>Waltham Highlands - Newton Corner</t>
  </si>
  <si>
    <t>36&amp;T</t>
  </si>
  <si>
    <t>Millennium Park or VA Hospital - Forest Hills Station</t>
  </si>
  <si>
    <t>558&amp;T</t>
  </si>
  <si>
    <t>Riverside Station - Newton Corner</t>
  </si>
  <si>
    <t>37&amp;T</t>
  </si>
  <si>
    <t>Baker Street &amp; Vermont Street - Forest Hills Station</t>
  </si>
  <si>
    <t>38&amp;T</t>
  </si>
  <si>
    <t>Wren Street - Forest Hills Station</t>
  </si>
  <si>
    <t>40&amp;T</t>
  </si>
  <si>
    <t>Georgetowne - Forest Hills Station</t>
  </si>
  <si>
    <t>4050&amp;T</t>
  </si>
  <si>
    <t>41&amp;T</t>
  </si>
  <si>
    <t>Centre Street &amp; Eliot Street - JFK/UMass Station</t>
  </si>
  <si>
    <t>42&amp;T</t>
  </si>
  <si>
    <t>Forest Hills Station - Nubian Station</t>
  </si>
  <si>
    <t>43&amp;T</t>
  </si>
  <si>
    <t>Ruggles Station - Park Street Station</t>
  </si>
  <si>
    <t>44&amp;T</t>
  </si>
  <si>
    <t>Jackson Square Station - Ruggles Station</t>
  </si>
  <si>
    <t>45&amp;T</t>
  </si>
  <si>
    <t>Franklin Park - Ruggles Station</t>
  </si>
  <si>
    <t>47&amp;T</t>
  </si>
  <si>
    <t>Central Square, Cambridge - Broadway Station</t>
  </si>
  <si>
    <t>50&amp;T</t>
  </si>
  <si>
    <t>Cleary Square - Forest Hills Station</t>
  </si>
  <si>
    <t>51&amp;T</t>
  </si>
  <si>
    <t>Reservoir Station - Forest Hills Station</t>
  </si>
  <si>
    <t>52&amp;T</t>
  </si>
  <si>
    <t>Dedham Mall - Watertown Yard</t>
  </si>
  <si>
    <t>55&amp;T</t>
  </si>
  <si>
    <t>West Fenway - Copley Square</t>
  </si>
  <si>
    <t>59&amp;T</t>
  </si>
  <si>
    <t>Needham Junction - Watertown Square</t>
  </si>
  <si>
    <t>60&amp;T</t>
  </si>
  <si>
    <t>Chestnut Hill - Kenmore Station</t>
  </si>
  <si>
    <t>61&amp;T</t>
  </si>
  <si>
    <t>North Waltham - Waltham Center</t>
  </si>
  <si>
    <t>62&amp;T</t>
  </si>
  <si>
    <t>Bedford VA Hospital - Alewife Station</t>
  </si>
  <si>
    <t>627&amp;T</t>
  </si>
  <si>
    <t>Bedford VA Hospital - Alewife Station via Hanscom Airport</t>
  </si>
  <si>
    <t>64&amp;T</t>
  </si>
  <si>
    <t>Oak Square - University Park or Kendall/MIT Station</t>
  </si>
  <si>
    <t>34E</t>
  </si>
  <si>
    <t>65&amp;T</t>
  </si>
  <si>
    <t>Brighton Center - Kenmore Station</t>
  </si>
  <si>
    <t>67&amp;T</t>
  </si>
  <si>
    <t>Turkey Hill - Alewife Station</t>
  </si>
  <si>
    <t>68&amp;T</t>
  </si>
  <si>
    <t>Harvard Square - Kendall/MIT Station</t>
  </si>
  <si>
    <t>69&amp;T</t>
  </si>
  <si>
    <t>Harvard Square - Lechmere Station</t>
  </si>
  <si>
    <t>70&amp;T</t>
  </si>
  <si>
    <t>Market Place Drive or Waltham Center - University Park</t>
  </si>
  <si>
    <t>74&amp;T</t>
  </si>
  <si>
    <t>Belmont Center - Harvard via Concord Avenue</t>
  </si>
  <si>
    <t>75&amp;T</t>
  </si>
  <si>
    <t>Belmont Center - Harvard via Huron Avenue</t>
  </si>
  <si>
    <t>76&amp;T</t>
  </si>
  <si>
    <t>Lincoln Lab - Alewife Station</t>
  </si>
  <si>
    <t>78&amp;T</t>
  </si>
  <si>
    <t>Arlmont Village - Harvard Station</t>
  </si>
  <si>
    <t>80&amp;T</t>
  </si>
  <si>
    <t>Arlington Center - Lechmere Station</t>
  </si>
  <si>
    <t>83&amp;T</t>
  </si>
  <si>
    <t>Rindge Avenue - Central Square, Cambridge</t>
  </si>
  <si>
    <t>85&amp;T</t>
  </si>
  <si>
    <t>Spring Hill - Kendall/MIT Station</t>
  </si>
  <si>
    <t>86&amp;T</t>
  </si>
  <si>
    <t>Sullivan Square Station - Reservoir Station</t>
  </si>
  <si>
    <t>87&amp;T</t>
  </si>
  <si>
    <t>Clarendon Hill or Arlington Center - Lechmere Station</t>
  </si>
  <si>
    <t>88&amp;T</t>
  </si>
  <si>
    <t>Clarendon Hill - Lechmere Station</t>
  </si>
  <si>
    <t>89&amp;T</t>
  </si>
  <si>
    <t>Clarendon Hill or Davis Station - Sullivan Square Station</t>
  </si>
  <si>
    <t>8993&amp;T</t>
  </si>
  <si>
    <t>Clarendon Hill - Haymarket Station</t>
  </si>
  <si>
    <t>90&amp;T</t>
  </si>
  <si>
    <t>Davis Station - Assembly Row</t>
  </si>
  <si>
    <t>91&amp;T</t>
  </si>
  <si>
    <t>Sullivan Square Station - Central Square, Cambridge</t>
  </si>
  <si>
    <t>92&amp;T</t>
  </si>
  <si>
    <t>Sullivan Square Station - Downtown via Main Street</t>
  </si>
  <si>
    <t>93&amp;T</t>
  </si>
  <si>
    <t>Sullivan Square Station - Downtown via Bunker Hill Street</t>
  </si>
  <si>
    <t>94&amp;T</t>
  </si>
  <si>
    <t>Medford Square - Davis Station</t>
  </si>
  <si>
    <t>95&amp;T</t>
  </si>
  <si>
    <t>West Medford or Arlington Center - Sullivan Square Station</t>
  </si>
  <si>
    <t>96&amp;T</t>
  </si>
  <si>
    <t>Medford Square - Harvard Station</t>
  </si>
  <si>
    <t>97&amp;T</t>
  </si>
  <si>
    <t>Malden Center Station - Wellington Station</t>
  </si>
  <si>
    <t>99&amp;T</t>
  </si>
  <si>
    <t>Woodland Road - Wellington Station</t>
  </si>
  <si>
    <t>100&amp;T</t>
  </si>
  <si>
    <t>Elm Street - Wellington Station</t>
  </si>
  <si>
    <t>101&amp;T</t>
  </si>
  <si>
    <t>Malden Center Station - Sullivan Square Station via Winter Hill</t>
  </si>
  <si>
    <t>104&amp;T</t>
  </si>
  <si>
    <t>Malden Center Station - Sullivan Square Station via Ferry Street</t>
  </si>
  <si>
    <t>105&amp;T</t>
  </si>
  <si>
    <t>Malden Center Station - Sullivan Square Station via Newland Street Housing</t>
  </si>
  <si>
    <t>106&amp;T</t>
  </si>
  <si>
    <t>Lebanon Loop - Wellington Station</t>
  </si>
  <si>
    <t>108&amp;T</t>
  </si>
  <si>
    <t>Linden Square - Wellington Station</t>
  </si>
  <si>
    <t>109&amp;T</t>
  </si>
  <si>
    <t>Linden Square - Sullivan Square Station</t>
  </si>
  <si>
    <t>110&amp;T</t>
  </si>
  <si>
    <t>Wonderland Station - Wellington Station</t>
  </si>
  <si>
    <t>112&amp;T</t>
  </si>
  <si>
    <t>Wellington Station - Wood Island Station</t>
  </si>
  <si>
    <t>114&amp;T</t>
  </si>
  <si>
    <t>Market Basket - Maverick Station</t>
  </si>
  <si>
    <t>119&amp;T</t>
  </si>
  <si>
    <t>Northgate Shopping Center - Beachmont Station</t>
  </si>
  <si>
    <t>120&amp;T</t>
  </si>
  <si>
    <t>Orient Heights Station - Jeffries Point</t>
  </si>
  <si>
    <t>132&amp;T</t>
  </si>
  <si>
    <t>Redstone Shopping Center - Malden Center Station</t>
  </si>
  <si>
    <t>134&amp;T</t>
  </si>
  <si>
    <t>North Woburn - Wellington Station</t>
  </si>
  <si>
    <t>137&amp;T</t>
  </si>
  <si>
    <t>Reading Depot - Malden Center Station</t>
  </si>
  <si>
    <t>171&amp;T</t>
  </si>
  <si>
    <t>Logan Airport Terminals - Nubian Station</t>
  </si>
  <si>
    <t>195&amp;T</t>
  </si>
  <si>
    <t>Lemuel Shattuck Hospital - Park Street &amp; Tremont Street</t>
  </si>
  <si>
    <t>201&amp;T</t>
  </si>
  <si>
    <t>Fields Corner Loop via Neponset Ave</t>
  </si>
  <si>
    <t>202&amp;T</t>
  </si>
  <si>
    <t>Fields Corner Loop via Adams Street</t>
  </si>
  <si>
    <t>210&amp;T</t>
  </si>
  <si>
    <t>Quincy Center Station - Fields Corner Station</t>
  </si>
  <si>
    <t>211&amp;T</t>
  </si>
  <si>
    <t>Quincy Center Station - Squantum</t>
  </si>
  <si>
    <t>215&amp;T</t>
  </si>
  <si>
    <t>Quincy Center Station - Ashmont Station via West Quincy</t>
  </si>
  <si>
    <t>216&amp;T</t>
  </si>
  <si>
    <t>Houghs Neck - Quincy Center Station via Germantown</t>
  </si>
  <si>
    <t>220&amp;T</t>
  </si>
  <si>
    <t>Hingham Depot - Quincy Center Station</t>
  </si>
  <si>
    <t>222&amp;T</t>
  </si>
  <si>
    <t>East Weymouth - Quincy Center Station</t>
  </si>
  <si>
    <t>225&amp;T</t>
  </si>
  <si>
    <t>Weymouth Landing - Quincy Center Station</t>
  </si>
  <si>
    <t>226&amp;T</t>
  </si>
  <si>
    <t>Columbian Square - Braintree Station</t>
  </si>
  <si>
    <t>230&amp;T</t>
  </si>
  <si>
    <t>Montello Station - Quincy Center Station</t>
  </si>
  <si>
    <t>236&amp;T</t>
  </si>
  <si>
    <t>South Shore Plaza - Quincy Center Station</t>
  </si>
  <si>
    <t>238&amp;T</t>
  </si>
  <si>
    <t>Holbrook/Randolph Station - Quincy Center Station</t>
  </si>
  <si>
    <t>240&amp;T</t>
  </si>
  <si>
    <t>Avon Square - Ashmont Station</t>
  </si>
  <si>
    <t>245&amp;T</t>
  </si>
  <si>
    <t>Quincy Center Station - Mattapan Station</t>
  </si>
  <si>
    <t>350&amp;T</t>
  </si>
  <si>
    <t>North Burlington - Alewife Station</t>
  </si>
  <si>
    <t>411&amp;T</t>
  </si>
  <si>
    <t>Kennedy Drive or Jack Satter House - Malden Center Station</t>
  </si>
  <si>
    <t>426&amp;T</t>
  </si>
  <si>
    <t>Central Square, Lynn - Haymarket or Wonderland Station</t>
  </si>
  <si>
    <t>429&amp;T</t>
  </si>
  <si>
    <t>Northgate Shopping Center - Central Square, Lynn</t>
  </si>
  <si>
    <t>430&amp;T</t>
  </si>
  <si>
    <t>Saugus Center - Malden Center Station</t>
  </si>
  <si>
    <t>435&amp;T</t>
  </si>
  <si>
    <t>Liberty Tree Mall - Central Square, Lynn via Peabody Square</t>
  </si>
  <si>
    <t>436&amp;T</t>
  </si>
  <si>
    <t>Liberty Tree Mall - Central Square, Lynn via Goodwin Circle</t>
  </si>
  <si>
    <t>441&amp;T</t>
  </si>
  <si>
    <t>Marblehead - Wonderland Station via Paradise Road</t>
  </si>
  <si>
    <t>441442&amp;T</t>
  </si>
  <si>
    <t>Marblehead - Wonderland Station</t>
  </si>
  <si>
    <t>442&amp;T</t>
  </si>
  <si>
    <t>Marblehead - Wonderland Station via Humphrey Street</t>
  </si>
  <si>
    <t>450&amp;T</t>
  </si>
  <si>
    <t>Salem Depot - Wonderland or Haymarket Station</t>
  </si>
  <si>
    <t>455&amp;T</t>
  </si>
  <si>
    <t>Salem Depot - Wonderland Station</t>
  </si>
  <si>
    <t>456&amp;T</t>
  </si>
  <si>
    <t>Salem Depot - Central Square, Lynn</t>
  </si>
  <si>
    <t>553&amp;T</t>
  </si>
  <si>
    <t>Roberts - Newton Corner</t>
  </si>
  <si>
    <t>554&amp;T</t>
  </si>
  <si>
    <t>Waverley Square - Newton Corner</t>
  </si>
  <si>
    <t>712&amp;T</t>
  </si>
  <si>
    <t>Point Shirley - Orient Heights Station via Revere Street</t>
  </si>
  <si>
    <t>713&amp;T</t>
  </si>
  <si>
    <t>Point Shirley - Orient Heights Station via Winthrop Center</t>
  </si>
  <si>
    <t>714&amp;T</t>
  </si>
  <si>
    <t>Pemberton Point, Hull - Station Street, Hingham</t>
  </si>
  <si>
    <t>716&amp;T</t>
  </si>
  <si>
    <t>Cobbs Corner - Mattapan Station</t>
  </si>
  <si>
    <t>Shuttle-AshmontBraintree&amp;T</t>
  </si>
  <si>
    <t>Ashmont - Braintree</t>
  </si>
  <si>
    <t>18741&amp;C</t>
  </si>
  <si>
    <t>Washington St, Cherry St to GHS</t>
  </si>
  <si>
    <t>Shuttle-AshmontBraintree</t>
  </si>
  <si>
    <t>2848&amp;C</t>
  </si>
  <si>
    <t>Gloucester - Rockport via Eastern Ave</t>
  </si>
  <si>
    <t>CATA</t>
  </si>
  <si>
    <t>18720&amp;C</t>
  </si>
  <si>
    <t>Beverly Commuter</t>
  </si>
  <si>
    <t>2851&amp;C</t>
  </si>
  <si>
    <t>Rockport Shuttle</t>
  </si>
  <si>
    <t>2856&amp;C</t>
  </si>
  <si>
    <t>Stage Fort Park Shuttle</t>
  </si>
  <si>
    <t>3240&amp;C</t>
  </si>
  <si>
    <t>Ipswich/Essex Explorer</t>
  </si>
  <si>
    <t>18743&amp;C</t>
  </si>
  <si>
    <t>Back Shore, Rocky Neck to GHS</t>
  </si>
  <si>
    <t>18742&amp;C</t>
  </si>
  <si>
    <t>Rockport, Lanesville, Washington St to GHS</t>
  </si>
  <si>
    <t>18744&amp;C</t>
  </si>
  <si>
    <t>Rocky Neck, Eastern Ave to GHS</t>
  </si>
  <si>
    <t>18745&amp;C</t>
  </si>
  <si>
    <t>Magnolia to GHS</t>
  </si>
  <si>
    <t>18746&amp;C</t>
  </si>
  <si>
    <t>Magnolia Ave, Atlantic St to GHS</t>
  </si>
  <si>
    <t>18747&amp;C</t>
  </si>
  <si>
    <t>Downtown Gloucester to GHS</t>
  </si>
  <si>
    <t>2843&amp;C</t>
  </si>
  <si>
    <t>Gloucester Crossing/Business Express</t>
  </si>
  <si>
    <t>18748&amp;C</t>
  </si>
  <si>
    <t>Essex Ave to GHS</t>
  </si>
  <si>
    <t>77118&amp;C</t>
  </si>
  <si>
    <t>Gloucester Crossing/Blackburn Express</t>
  </si>
  <si>
    <t>2844&amp;C</t>
  </si>
  <si>
    <t>Lanesville</t>
  </si>
  <si>
    <t>2842&amp;C</t>
  </si>
  <si>
    <t>Gloucester - Rockport via Thatcher Road</t>
  </si>
  <si>
    <t>2847&amp;C</t>
  </si>
  <si>
    <t>Gloucester - West Gloucester - Essex</t>
  </si>
  <si>
    <t>2845&amp;C</t>
  </si>
  <si>
    <t>Magnolia</t>
  </si>
  <si>
    <t>2846&amp;C</t>
  </si>
  <si>
    <t>Saturday Mall Shuttle</t>
  </si>
  <si>
    <t>3241&amp;C</t>
  </si>
  <si>
    <t>City of Beverly Shuttle</t>
  </si>
  <si>
    <t>14&amp;M</t>
  </si>
  <si>
    <t>RT14</t>
  </si>
  <si>
    <t>1&amp;M</t>
  </si>
  <si>
    <t>RT01</t>
  </si>
  <si>
    <t>MWRTA</t>
  </si>
  <si>
    <t>7&amp;M</t>
  </si>
  <si>
    <t>RT07</t>
  </si>
  <si>
    <t>3&amp;M</t>
  </si>
  <si>
    <t>RT03</t>
  </si>
  <si>
    <t>10&amp;M</t>
  </si>
  <si>
    <t>RT10</t>
  </si>
  <si>
    <t>MBRS&amp;M</t>
  </si>
  <si>
    <t>Mass Bay Riverside Shuttle</t>
  </si>
  <si>
    <t>GL&amp;M</t>
  </si>
  <si>
    <t>Green Line Connector</t>
  </si>
  <si>
    <t>MBRS</t>
  </si>
  <si>
    <t>2&amp;M</t>
  </si>
  <si>
    <t>RT02</t>
  </si>
  <si>
    <t>GL</t>
  </si>
  <si>
    <t>07C&amp;M</t>
  </si>
  <si>
    <t>RT07C</t>
  </si>
  <si>
    <t>04S&amp;M</t>
  </si>
  <si>
    <t>RT04S</t>
  </si>
  <si>
    <t>07C</t>
  </si>
  <si>
    <t>6&amp;M</t>
  </si>
  <si>
    <t>RT06</t>
  </si>
  <si>
    <t>04S</t>
  </si>
  <si>
    <t>MBCS&amp;M</t>
  </si>
  <si>
    <t>Mass Bay Campus to Campus Shuttle</t>
  </si>
  <si>
    <t>15&amp;M</t>
  </si>
  <si>
    <t>RT15</t>
  </si>
  <si>
    <t>MBCS</t>
  </si>
  <si>
    <t>11&amp;M</t>
  </si>
  <si>
    <t>RT11</t>
  </si>
  <si>
    <t>04N&amp;M</t>
  </si>
  <si>
    <t>RT04N</t>
  </si>
  <si>
    <t>MWES&amp;M</t>
  </si>
  <si>
    <t>MathWorks Express Shuttle</t>
  </si>
  <si>
    <t>04N</t>
  </si>
  <si>
    <t>NCS&amp;M</t>
  </si>
  <si>
    <t>Natick Commuter Shuttle</t>
  </si>
  <si>
    <t>MWES</t>
  </si>
  <si>
    <t>5&amp;M</t>
  </si>
  <si>
    <t>RT05</t>
  </si>
  <si>
    <t>NCS</t>
  </si>
  <si>
    <t>9&amp;M</t>
  </si>
  <si>
    <t>RT09</t>
  </si>
  <si>
    <t>2933&amp;B</t>
  </si>
  <si>
    <t>1_Montello Street Via North Main Street</t>
  </si>
  <si>
    <t>2934&amp;B</t>
  </si>
  <si>
    <t>2_S Plaza/Campello Via Main Street</t>
  </si>
  <si>
    <t>10729&amp;V</t>
  </si>
  <si>
    <t>16-WESTGATE PLAZA VIA WASHIN</t>
  </si>
  <si>
    <t>MVRTA</t>
  </si>
  <si>
    <t>3219&amp;B</t>
  </si>
  <si>
    <t>12_Ashmont</t>
  </si>
  <si>
    <t>10730&amp;V</t>
  </si>
  <si>
    <t>18-RIVERSIDE/GROVELAND</t>
  </si>
  <si>
    <t>2945&amp;B</t>
  </si>
  <si>
    <t>10731&amp;V</t>
  </si>
  <si>
    <t>21-ANDOVER SHUTTLE</t>
  </si>
  <si>
    <t>2946&amp;B</t>
  </si>
  <si>
    <t>14_Stoughton via Brockton</t>
  </si>
  <si>
    <t>10732&amp;V</t>
  </si>
  <si>
    <t>2-ANDOVER SQUARE VIA SOUTH B</t>
  </si>
  <si>
    <t>2947&amp;B</t>
  </si>
  <si>
    <t>RF_Rockland Flex</t>
  </si>
  <si>
    <t>10733&amp;V</t>
  </si>
  <si>
    <t>3-NORTH ANDOVER/WOODRIDGE</t>
  </si>
  <si>
    <t>2948&amp;B</t>
  </si>
  <si>
    <t>BSU 1_Green Line</t>
  </si>
  <si>
    <t>10734&amp;V</t>
  </si>
  <si>
    <t>15-WESTGATE PLAZA VIA HILLDA</t>
  </si>
  <si>
    <t>3220&amp;B</t>
  </si>
  <si>
    <t>BSU 2_Blue Line</t>
  </si>
  <si>
    <t>10737&amp;V</t>
  </si>
  <si>
    <t>12-LAWRENCE CROSSTOWN</t>
  </si>
  <si>
    <t>3223&amp;B</t>
  </si>
  <si>
    <t>BSU 3_Red Line</t>
  </si>
  <si>
    <t>10739&amp;V</t>
  </si>
  <si>
    <t>26-IRS/RAYTHEON (NUKES &amp; TAX</t>
  </si>
  <si>
    <t>3221&amp;B</t>
  </si>
  <si>
    <t>BSU 4_Route 28</t>
  </si>
  <si>
    <t>10740&amp;V</t>
  </si>
  <si>
    <t>27-BEACON STREET SPECIAL</t>
  </si>
  <si>
    <t>3222&amp;B</t>
  </si>
  <si>
    <t>BSU 5_Gold Nights and Weekends</t>
  </si>
  <si>
    <t>10743&amp;V</t>
  </si>
  <si>
    <t>14-LAWRENCE-HAVERHILL VIA AM</t>
  </si>
  <si>
    <t>2935&amp;B</t>
  </si>
  <si>
    <t>3_VA Hospital via Belmont</t>
  </si>
  <si>
    <t>10746&amp;V</t>
  </si>
  <si>
    <t>1-LAWRENCE-HAVERHILL VIA THE</t>
  </si>
  <si>
    <t>2936&amp;B</t>
  </si>
  <si>
    <t>4_Westgate via Pleasant</t>
  </si>
  <si>
    <t>10747&amp;V</t>
  </si>
  <si>
    <t>13-STATELINE PLAZA/PLAISTOW</t>
  </si>
  <si>
    <t>2937&amp;B</t>
  </si>
  <si>
    <t>4A_Westgate Mall via N Warren</t>
  </si>
  <si>
    <t>10748&amp;V</t>
  </si>
  <si>
    <t>4-THE LOOP VIA PROSPECT HILL</t>
  </si>
  <si>
    <t>2938&amp;B</t>
  </si>
  <si>
    <t>5_Brockton Hospital via Centre Street</t>
  </si>
  <si>
    <t>10749&amp;V</t>
  </si>
  <si>
    <t>5-MERRIMAC PLAZA/DANA FARBER</t>
  </si>
  <si>
    <t>2939&amp;B</t>
  </si>
  <si>
    <t>6_Massasoit via Crescent Street</t>
  </si>
  <si>
    <t>10750&amp;V</t>
  </si>
  <si>
    <t>6-HOLY FAMILY HOSPITAL VIA L</t>
  </si>
  <si>
    <t>2940&amp;B</t>
  </si>
  <si>
    <t>8_Southfield via Warren &amp; Plain Street</t>
  </si>
  <si>
    <t>10751&amp;V</t>
  </si>
  <si>
    <t>7-BEACON STREET/MOUNT VERNON</t>
  </si>
  <si>
    <t>2941&amp;B</t>
  </si>
  <si>
    <t>9_Pearl via W Elm &amp; Torrey</t>
  </si>
  <si>
    <t>10752&amp;V</t>
  </si>
  <si>
    <t>8-NORTH ANDOVER MALL VIA PAR</t>
  </si>
  <si>
    <t>18785&amp;B</t>
  </si>
  <si>
    <t>10/11_Lisa &amp; Howard via N Quincy &amp; Court</t>
  </si>
  <si>
    <t>10753&amp;V</t>
  </si>
  <si>
    <t>9-MERRIMACK COLLEGE VIA SOUT</t>
  </si>
  <si>
    <t>1_LAWRENCE-HAVERHILL VIA THE LOOP</t>
  </si>
  <si>
    <t>10754&amp;V</t>
  </si>
  <si>
    <t>10-VILLAGE MALL VIA BROADWAY</t>
  </si>
  <si>
    <t>2_ANDOVER SQUARE VIA SOUTH BROADWAY</t>
  </si>
  <si>
    <t>10755&amp;V</t>
  </si>
  <si>
    <t>24-LAWRENCE-LOWELL</t>
  </si>
  <si>
    <t>76298&amp;V</t>
  </si>
  <si>
    <t>11_LAWRENCE-HAVERHILL-NEWBURYPORT LIMITED</t>
  </si>
  <si>
    <t>11-LAWRENCE-HAVERHILL-NEWBUR</t>
  </si>
  <si>
    <t>12_LAWRENCE CROSSTOWN</t>
  </si>
  <si>
    <t>76299&amp;V</t>
  </si>
  <si>
    <t>17-SALISBURY BEACH VIA AMESB</t>
  </si>
  <si>
    <t>13_STATELINE PLAZA/PLAISTOW</t>
  </si>
  <si>
    <t>76300&amp;V</t>
  </si>
  <si>
    <t>19-AMESBURY/COSTELLO</t>
  </si>
  <si>
    <t>14_LAWRENCE-HAVERHILL VIA AMAZON/WARD HILL</t>
  </si>
  <si>
    <t>76301&amp;V</t>
  </si>
  <si>
    <t>20-SALISBURY BEACH</t>
  </si>
  <si>
    <t>15_WESTGATE PLAZA VIA HILLDALE</t>
  </si>
  <si>
    <t>10/11-Lisa &amp; Howard via N Qu</t>
  </si>
  <si>
    <t>BAT</t>
  </si>
  <si>
    <t>16_WESTGATE PLAZA VIA WASHINGTON STREET</t>
  </si>
  <si>
    <t>1-Montello Street Via North</t>
  </si>
  <si>
    <t>17_SALISBURY BEACH VIA AMESBURY</t>
  </si>
  <si>
    <t>2-S Plaza/Campello Via Main</t>
  </si>
  <si>
    <t>18_RIVERSIDE/GROVELAND</t>
  </si>
  <si>
    <t>3-VA Hospital via Belmont-Tr</t>
  </si>
  <si>
    <t>19_AMESBURY/COSTELLO</t>
  </si>
  <si>
    <t>4-Westgate via Pleasant-Trav</t>
  </si>
  <si>
    <t>20_SALISBURY BEACH</t>
  </si>
  <si>
    <t>4A-Westgate Mall via N Warre</t>
  </si>
  <si>
    <t>3_NORTH ANDOVER/WOODRIDGE</t>
  </si>
  <si>
    <t>5-Brockton Hospital via Cent</t>
  </si>
  <si>
    <t>21_ANDOVER SHUTTLE</t>
  </si>
  <si>
    <t>6-Massasoit via Crescent Str</t>
  </si>
  <si>
    <t>76156&amp;V</t>
  </si>
  <si>
    <t>22_BUTTONWOODS EXPRESS</t>
  </si>
  <si>
    <t>8-Southfield via Warren &amp; Pl</t>
  </si>
  <si>
    <t>10738&amp;V</t>
  </si>
  <si>
    <t>23_BEACH EXPRESS</t>
  </si>
  <si>
    <t>9-Pearl via W Elm &amp; Torrey-F</t>
  </si>
  <si>
    <t>24_LAWRENCE-LOWELL</t>
  </si>
  <si>
    <t>14-Stoughton via Brockton-Tr</t>
  </si>
  <si>
    <t>26_IRS/RAYTHEON (NUKES &amp; TAXES)</t>
  </si>
  <si>
    <t>RF-Rockland Flex-Flexible Ro</t>
  </si>
  <si>
    <t>27_BEACON STREET SPECIAL</t>
  </si>
  <si>
    <t>12-Ashmont-No transfers perm</t>
  </si>
  <si>
    <t>4_THE LOOP VIA PROSPECT HILL</t>
  </si>
  <si>
    <t>5_MERRIMAC PLAZA/DANA FARBER VIA WATER STREET</t>
  </si>
  <si>
    <t>6_HOLY FAMILY HOSPITAL VIA LAWRENCE GENERAL</t>
  </si>
  <si>
    <t>Summary by Mode</t>
  </si>
  <si>
    <t>7_BEACON STREET/MOUNT VERNON</t>
  </si>
  <si>
    <t>#No.of Routes</t>
  </si>
  <si>
    <t>8_NORTH ANDOVER MALL VIA PARKER STREET</t>
  </si>
  <si>
    <t>9_MERRIMACK COLLEGE VIA SOUTH UNION STREET/NORTH ANDOVER MALL</t>
  </si>
  <si>
    <t>10_VILLAGE MALL VIA BROADWAY</t>
  </si>
  <si>
    <t>Summary by Agency</t>
  </si>
  <si>
    <t>MBTA</t>
  </si>
  <si>
    <t>MBTA Express Bus</t>
  </si>
  <si>
    <t>route_gtfs</t>
  </si>
  <si>
    <t>LR</t>
  </si>
  <si>
    <t>MBTA SL Bus</t>
  </si>
  <si>
    <t>Central Square- Cambridge - Broadway Station</t>
  </si>
  <si>
    <t>Rindge Avenue - Central Square- Cambridge</t>
  </si>
  <si>
    <t>Sullivan Square Station - Central Square- Cambridge</t>
  </si>
  <si>
    <t>North Burlington - State Street- Boston</t>
  </si>
  <si>
    <t>Central Square- Lynn - Haymarket or Wonderland Station</t>
  </si>
  <si>
    <t>Northgate Shopping Center - Central Square- Lynn</t>
  </si>
  <si>
    <t>Liberty Tree Mall - Central Square- Lynn via Peabody Square</t>
  </si>
  <si>
    <t>Liberty Tree Mall - Central Square- Lynn via Goodwin Circle</t>
  </si>
  <si>
    <t>Salem Depot - Central Square- Lynn</t>
  </si>
  <si>
    <t>Pemberton Point- Hull - Station Street- Hingham</t>
  </si>
  <si>
    <t>Washington St- Cherry St to GHS</t>
  </si>
  <si>
    <t>Back Shore- Rocky Neck to GHS</t>
  </si>
  <si>
    <t>Rockport- Lanesville- Washington St to GHS</t>
  </si>
  <si>
    <t>Rocky Neck- Eastern Ave to GHS</t>
  </si>
  <si>
    <t>Magnolia Ave- Atlantic St to GHS</t>
  </si>
  <si>
    <t>BATA</t>
  </si>
  <si>
    <t>13_Mini-Maller Westgate Mall- Brockton</t>
  </si>
  <si>
    <t/>
  </si>
  <si>
    <t>Estimated</t>
  </si>
  <si>
    <t>2045 Growth</t>
  </si>
  <si>
    <t>MBTA Heavy Rail</t>
  </si>
  <si>
    <t>MBTA Light Rail</t>
  </si>
  <si>
    <t>MBTA Silver Line</t>
  </si>
  <si>
    <t>2050 Growth</t>
  </si>
  <si>
    <t>2024 Modeled</t>
  </si>
  <si>
    <t>2045 Modeled</t>
  </si>
  <si>
    <t>2050 Modeled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</si>
</sst>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400]h:mm:ss\ AM/PM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0" tint="-0.1499984740745262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8" borderId="8" applyNumberFormat="0" applyFont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9" fontId="2" fillId="0" borderId="0" applyFont="0" applyFill="0" applyBorder="0" applyAlignment="0" applyProtection="0"/>
    <xf numFmtId="0" fontId="2" fillId="8" borderId="8" applyNumberFormat="0" applyFont="0" applyAlignment="0" applyProtection="0"/>
    <xf numFmtId="0" fontId="19" fillId="0" borderId="0"/>
    <xf numFmtId="0" fontId="1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165" fontId="2" fillId="0" borderId="0"/>
    <xf numFmtId="165" fontId="10" fillId="5" borderId="4" applyNumberFormat="0" applyAlignment="0" applyProtection="0"/>
    <xf numFmtId="9" fontId="25" fillId="0" borderId="0" applyFont="0" applyFill="0" applyBorder="0" applyAlignment="0" applyProtection="0"/>
    <xf numFmtId="165" fontId="7" fillId="2" borderId="0" applyNumberFormat="0" applyBorder="0" applyAlignment="0" applyProtection="0"/>
    <xf numFmtId="165" fontId="23" fillId="4" borderId="0" applyNumberFormat="0" applyBorder="0" applyAlignment="0" applyProtection="0"/>
    <xf numFmtId="165" fontId="2" fillId="0" borderId="0"/>
    <xf numFmtId="165" fontId="8" fillId="3" borderId="0" applyNumberFormat="0" applyBorder="0" applyAlignment="0" applyProtection="0"/>
    <xf numFmtId="165" fontId="26" fillId="0" borderId="0"/>
    <xf numFmtId="165" fontId="12" fillId="6" borderId="4" applyNumberFormat="0" applyAlignment="0" applyProtection="0"/>
    <xf numFmtId="165" fontId="17" fillId="17" borderId="0" applyNumberFormat="0" applyBorder="0" applyAlignment="0" applyProtection="0"/>
    <xf numFmtId="165" fontId="2" fillId="28" borderId="0" applyNumberFormat="0" applyBorder="0" applyAlignment="0" applyProtection="0"/>
    <xf numFmtId="165" fontId="2" fillId="26" borderId="0" applyNumberFormat="0" applyBorder="0" applyAlignment="0" applyProtection="0"/>
    <xf numFmtId="165" fontId="2" fillId="20" borderId="0" applyNumberFormat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0" fontId="2" fillId="0" borderId="0"/>
    <xf numFmtId="0" fontId="2" fillId="26" borderId="0" applyNumberFormat="0" applyBorder="0" applyAlignment="0" applyProtection="0"/>
    <xf numFmtId="9" fontId="2" fillId="0" borderId="0" applyFont="0" applyFill="0" applyBorder="0" applyAlignment="0" applyProtection="0"/>
    <xf numFmtId="0" fontId="18" fillId="0" borderId="0"/>
    <xf numFmtId="0" fontId="18" fillId="0" borderId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165" fontId="2" fillId="0" borderId="0"/>
    <xf numFmtId="9" fontId="25" fillId="0" borderId="0" applyFont="0" applyFill="0" applyBorder="0" applyAlignment="0" applyProtection="0"/>
    <xf numFmtId="165" fontId="2" fillId="0" borderId="0"/>
    <xf numFmtId="165" fontId="26" fillId="0" borderId="0"/>
    <xf numFmtId="165" fontId="2" fillId="26" borderId="0" applyNumberFormat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26" fillId="0" borderId="0"/>
    <xf numFmtId="43" fontId="26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/>
    <xf numFmtId="3" fontId="0" fillId="0" borderId="0" xfId="0" applyNumberFormat="1"/>
    <xf numFmtId="0" fontId="20" fillId="0" borderId="0" xfId="0" applyFont="1"/>
    <xf numFmtId="0" fontId="0" fillId="0" borderId="10" xfId="0" applyBorder="1"/>
    <xf numFmtId="0" fontId="1" fillId="0" borderId="0" xfId="0" quotePrefix="1" applyFont="1"/>
    <xf numFmtId="0" fontId="1" fillId="0" borderId="0" xfId="0" applyFont="1"/>
    <xf numFmtId="0" fontId="1" fillId="0" borderId="10" xfId="0" quotePrefix="1" applyFont="1" applyBorder="1"/>
    <xf numFmtId="0" fontId="0" fillId="0" borderId="11" xfId="0" applyBorder="1"/>
    <xf numFmtId="0" fontId="21" fillId="0" borderId="0" xfId="0" quotePrefix="1" applyFont="1"/>
    <xf numFmtId="0" fontId="0" fillId="0" borderId="13" xfId="0" applyBorder="1"/>
    <xf numFmtId="0" fontId="0" fillId="0" borderId="17" xfId="0" quotePrefix="1" applyBorder="1"/>
    <xf numFmtId="0" fontId="0" fillId="0" borderId="18" xfId="0" applyBorder="1"/>
    <xf numFmtId="9" fontId="0" fillId="0" borderId="0" xfId="67" applyFont="1" applyBorder="1"/>
    <xf numFmtId="9" fontId="0" fillId="0" borderId="10" xfId="67" applyFont="1" applyBorder="1"/>
    <xf numFmtId="0" fontId="1" fillId="0" borderId="0" xfId="0" applyFont="1" applyAlignment="1">
      <alignment horizontal="center"/>
    </xf>
    <xf numFmtId="0" fontId="1" fillId="0" borderId="12" xfId="0" quotePrefix="1" applyFont="1" applyBorder="1"/>
    <xf numFmtId="0" fontId="1" fillId="0" borderId="13" xfId="0" applyFont="1" applyBorder="1"/>
    <xf numFmtId="0" fontId="1" fillId="0" borderId="15" xfId="0" quotePrefix="1" applyFont="1" applyBorder="1"/>
    <xf numFmtId="0" fontId="1" fillId="0" borderId="16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0" xfId="0" applyNumberFormat="1" applyFont="1"/>
    <xf numFmtId="0" fontId="0" fillId="0" borderId="19" xfId="0" applyBorder="1"/>
    <xf numFmtId="0" fontId="1" fillId="0" borderId="20" xfId="0" quotePrefix="1" applyFont="1" applyBorder="1"/>
    <xf numFmtId="0" fontId="1" fillId="0" borderId="24" xfId="0" applyFont="1" applyBorder="1"/>
    <xf numFmtId="0" fontId="1" fillId="0" borderId="21" xfId="0" applyFont="1" applyBorder="1"/>
    <xf numFmtId="0" fontId="27" fillId="0" borderId="13" xfId="0" applyFont="1" applyBorder="1"/>
    <xf numFmtId="0" fontId="27" fillId="0" borderId="0" xfId="0" applyFont="1"/>
    <xf numFmtId="0" fontId="24" fillId="0" borderId="18" xfId="0" applyFont="1" applyBorder="1"/>
    <xf numFmtId="9" fontId="1" fillId="0" borderId="0" xfId="67" applyFont="1" applyBorder="1"/>
    <xf numFmtId="0" fontId="1" fillId="0" borderId="10" xfId="0" applyFont="1" applyBorder="1" applyAlignment="1">
      <alignment horizontal="center"/>
    </xf>
    <xf numFmtId="3" fontId="0" fillId="0" borderId="18" xfId="0" applyNumberFormat="1" applyBorder="1"/>
    <xf numFmtId="3" fontId="0" fillId="0" borderId="25" xfId="0" applyNumberFormat="1" applyBorder="1"/>
    <xf numFmtId="9" fontId="0" fillId="0" borderId="11" xfId="67" applyFont="1" applyBorder="1"/>
    <xf numFmtId="0" fontId="0" fillId="33" borderId="0" xfId="0" applyFill="1"/>
    <xf numFmtId="0" fontId="0" fillId="0" borderId="12" xfId="0" applyBorder="1"/>
    <xf numFmtId="0" fontId="0" fillId="0" borderId="15" xfId="0" applyBorder="1"/>
    <xf numFmtId="3" fontId="0" fillId="0" borderId="16" xfId="0" applyNumberFormat="1" applyBorder="1"/>
    <xf numFmtId="9" fontId="0" fillId="0" borderId="0" xfId="67" applyFont="1" applyFill="1" applyBorder="1"/>
    <xf numFmtId="9" fontId="1" fillId="0" borderId="0" xfId="67" applyFont="1" applyFill="1" applyBorder="1"/>
    <xf numFmtId="0" fontId="0" fillId="0" borderId="17" xfId="0" applyBorder="1"/>
    <xf numFmtId="0" fontId="0" fillId="34" borderId="15" xfId="0" applyFill="1" applyBorder="1"/>
    <xf numFmtId="0" fontId="0" fillId="34" borderId="0" xfId="0" applyFill="1"/>
    <xf numFmtId="3" fontId="0" fillId="34" borderId="16" xfId="0" applyNumberFormat="1" applyFill="1" applyBorder="1"/>
    <xf numFmtId="9" fontId="0" fillId="34" borderId="0" xfId="67" applyFont="1" applyFill="1" applyBorder="1"/>
    <xf numFmtId="0" fontId="1" fillId="0" borderId="25" xfId="0" applyFont="1" applyBorder="1" applyAlignment="1">
      <alignment horizontal="center" vertical="center" wrapText="1"/>
    </xf>
    <xf numFmtId="0" fontId="0" fillId="0" borderId="25" xfId="0" applyBorder="1"/>
    <xf numFmtId="0" fontId="0" fillId="0" borderId="25" xfId="0" applyBorder="1" applyAlignment="1">
      <alignment horizontal="right"/>
    </xf>
    <xf numFmtId="0" fontId="1" fillId="0" borderId="25" xfId="0" applyFont="1" applyBorder="1" applyAlignment="1">
      <alignment horizontal="left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9" xfId="0" applyNumberFormat="1" applyBorder="1"/>
    <xf numFmtId="0" fontId="0" fillId="34" borderId="12" xfId="0" applyFill="1" applyBorder="1"/>
    <xf numFmtId="0" fontId="0" fillId="34" borderId="13" xfId="0" applyFill="1" applyBorder="1"/>
    <xf numFmtId="3" fontId="0" fillId="34" borderId="13" xfId="0" applyNumberFormat="1" applyFill="1" applyBorder="1"/>
    <xf numFmtId="3" fontId="0" fillId="34" borderId="14" xfId="0" applyNumberFormat="1" applyFill="1" applyBorder="1"/>
    <xf numFmtId="0" fontId="0" fillId="34" borderId="17" xfId="0" applyFill="1" applyBorder="1"/>
    <xf numFmtId="0" fontId="0" fillId="34" borderId="18" xfId="0" applyFill="1" applyBorder="1"/>
    <xf numFmtId="3" fontId="0" fillId="34" borderId="18" xfId="0" applyNumberFormat="1" applyFill="1" applyBorder="1"/>
    <xf numFmtId="3" fontId="0" fillId="34" borderId="19" xfId="0" applyNumberFormat="1" applyFill="1" applyBorder="1"/>
    <xf numFmtId="0" fontId="29" fillId="0" borderId="0" xfId="0" applyFont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64" fontId="0" fillId="0" borderId="0" xfId="66" applyNumberFormat="1" applyFont="1" applyFill="1"/>
    <xf numFmtId="164" fontId="1" fillId="0" borderId="0" xfId="66" applyNumberFormat="1" applyFont="1" applyFill="1" applyBorder="1" applyAlignment="1">
      <alignment horizontal="center"/>
    </xf>
    <xf numFmtId="164" fontId="0" fillId="0" borderId="0" xfId="66" applyNumberFormat="1" applyFont="1" applyFill="1" applyBorder="1"/>
    <xf numFmtId="164" fontId="1" fillId="0" borderId="0" xfId="66" applyNumberFormat="1" applyFont="1" applyFill="1" applyBorder="1"/>
    <xf numFmtId="0" fontId="1" fillId="0" borderId="17" xfId="0" applyFont="1" applyBorder="1" applyAlignment="1">
      <alignment horizontal="center" vertical="center"/>
    </xf>
    <xf numFmtId="3" fontId="0" fillId="0" borderId="15" xfId="0" applyNumberForma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0" fontId="0" fillId="0" borderId="26" xfId="0" applyBorder="1"/>
    <xf numFmtId="0" fontId="1" fillId="0" borderId="28" xfId="0" applyFont="1" applyBorder="1"/>
    <xf numFmtId="3" fontId="1" fillId="0" borderId="20" xfId="0" applyNumberFormat="1" applyFont="1" applyBorder="1"/>
    <xf numFmtId="3" fontId="0" fillId="0" borderId="12" xfId="0" applyNumberFormat="1" applyBorder="1"/>
    <xf numFmtId="3" fontId="0" fillId="0" borderId="17" xfId="0" applyNumberFormat="1" applyBorder="1"/>
    <xf numFmtId="3" fontId="0" fillId="34" borderId="12" xfId="0" applyNumberFormat="1" applyFill="1" applyBorder="1"/>
    <xf numFmtId="3" fontId="0" fillId="34" borderId="15" xfId="0" applyNumberFormat="1" applyFill="1" applyBorder="1"/>
    <xf numFmtId="3" fontId="0" fillId="34" borderId="0" xfId="0" applyNumberFormat="1" applyFill="1"/>
    <xf numFmtId="3" fontId="0" fillId="34" borderId="17" xfId="0" applyNumberFormat="1" applyFill="1" applyBorder="1"/>
    <xf numFmtId="0" fontId="1" fillId="0" borderId="27" xfId="0" applyFont="1" applyBorder="1"/>
    <xf numFmtId="0" fontId="27" fillId="0" borderId="28" xfId="0" applyFont="1" applyBorder="1"/>
    <xf numFmtId="0" fontId="1" fillId="0" borderId="17" xfId="0" applyFont="1" applyBorder="1"/>
    <xf numFmtId="0" fontId="1" fillId="0" borderId="18" xfId="0" applyFont="1" applyBorder="1"/>
    <xf numFmtId="0" fontId="27" fillId="0" borderId="18" xfId="0" applyFont="1" applyBorder="1"/>
    <xf numFmtId="0" fontId="0" fillId="0" borderId="20" xfId="0" applyBorder="1"/>
    <xf numFmtId="3" fontId="1" fillId="0" borderId="19" xfId="0" applyNumberFormat="1" applyFont="1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/>
    <xf numFmtId="0" fontId="1" fillId="0" borderId="15" xfId="0" applyFont="1" applyBorder="1" applyAlignment="1">
      <alignment horizontal="center"/>
    </xf>
    <xf numFmtId="3" fontId="1" fillId="0" borderId="29" xfId="0" applyNumberFormat="1" applyFont="1" applyBorder="1"/>
    <xf numFmtId="3" fontId="0" fillId="0" borderId="30" xfId="0" applyNumberFormat="1" applyBorder="1"/>
    <xf numFmtId="0" fontId="15" fillId="0" borderId="0" xfId="0" applyFont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5" xfId="0" applyFont="1" applyBorder="1" applyAlignment="1">
      <alignment horizontal="right"/>
    </xf>
    <xf numFmtId="0" fontId="1" fillId="0" borderId="25" xfId="0" applyFont="1" applyBorder="1"/>
    <xf numFmtId="3" fontId="0" fillId="0" borderId="25" xfId="0" applyNumberFormat="1" applyBorder="1" applyAlignment="1">
      <alignment horizontal="center"/>
    </xf>
    <xf numFmtId="9" fontId="0" fillId="0" borderId="25" xfId="67" applyFont="1" applyBorder="1" applyAlignment="1">
      <alignment horizontal="center"/>
    </xf>
    <xf numFmtId="3" fontId="1" fillId="0" borderId="25" xfId="0" applyNumberFormat="1" applyFont="1" applyBorder="1" applyAlignment="1">
      <alignment horizontal="center"/>
    </xf>
    <xf numFmtId="3" fontId="1" fillId="0" borderId="25" xfId="0" applyNumberFormat="1" applyFont="1" applyBorder="1" applyAlignment="1">
      <alignment horizontal="center" vertical="center" wrapText="1"/>
    </xf>
  </cellXfs>
  <cellStyles count="125">
    <cellStyle name="20% - Accent1" xfId="18" builtinId="30" customBuiltin="1"/>
    <cellStyle name="20% - Accent1 2" xfId="50" xr:uid="{00000000-0005-0000-0000-000001000000}"/>
    <cellStyle name="20% - Accent2" xfId="22" builtinId="34" customBuiltin="1"/>
    <cellStyle name="20% - Accent2 2" xfId="52" xr:uid="{00000000-0005-0000-0000-000003000000}"/>
    <cellStyle name="20% - Accent3" xfId="26" builtinId="38" customBuiltin="1"/>
    <cellStyle name="20% - Accent3 2" xfId="54" xr:uid="{00000000-0005-0000-0000-000005000000}"/>
    <cellStyle name="20% - Accent4" xfId="30" builtinId="42" customBuiltin="1"/>
    <cellStyle name="20% - Accent4 2" xfId="56" xr:uid="{00000000-0005-0000-0000-000007000000}"/>
    <cellStyle name="20% - Accent5" xfId="34" builtinId="46" customBuiltin="1"/>
    <cellStyle name="20% - Accent5 2" xfId="58" xr:uid="{00000000-0005-0000-0000-000009000000}"/>
    <cellStyle name="20% - Accent5 2 2" xfId="102" xr:uid="{00000000-0005-0000-0000-000009000000}"/>
    <cellStyle name="20% - Accent5 2 3" xfId="118" xr:uid="{00000000-0005-0000-0000-00002F000000}"/>
    <cellStyle name="20% - Accent5 2 4" xfId="87" xr:uid="{00000000-0005-0000-0000-00002F000000}"/>
    <cellStyle name="20% - Accent6" xfId="38" builtinId="50" customBuiltin="1"/>
    <cellStyle name="20% - Accent6 2" xfId="60" xr:uid="{00000000-0005-0000-0000-00000B000000}"/>
    <cellStyle name="40% - Accent1" xfId="19" builtinId="31" customBuiltin="1"/>
    <cellStyle name="40% - Accent1 2" xfId="51" xr:uid="{00000000-0005-0000-0000-00000D000000}"/>
    <cellStyle name="40% - Accent2" xfId="23" builtinId="35" customBuiltin="1"/>
    <cellStyle name="40% - Accent2 2" xfId="53" xr:uid="{00000000-0005-0000-0000-00000F000000}"/>
    <cellStyle name="40% - Accent3" xfId="27" builtinId="39" customBuiltin="1"/>
    <cellStyle name="40% - Accent3 2" xfId="55" xr:uid="{00000000-0005-0000-0000-000011000000}"/>
    <cellStyle name="40% - Accent4" xfId="31" builtinId="43" customBuiltin="1"/>
    <cellStyle name="40% - Accent4 2" xfId="57" xr:uid="{00000000-0005-0000-0000-000013000000}"/>
    <cellStyle name="40% - Accent5" xfId="35" builtinId="47" customBuiltin="1"/>
    <cellStyle name="40% - Accent5 2" xfId="59" xr:uid="{00000000-0005-0000-0000-000015000000}"/>
    <cellStyle name="40% - Accent6" xfId="39" builtinId="51" customBuiltin="1"/>
    <cellStyle name="40% - Accent6 2" xfId="61" xr:uid="{00000000-0005-0000-0000-000017000000}"/>
    <cellStyle name="60% - Accent1" xfId="20" builtinId="32" customBuiltin="1"/>
    <cellStyle name="60% - Accent1 2" xfId="91" xr:uid="{00000000-0005-0000-0000-000048000000}"/>
    <cellStyle name="60% - Accent1 3" xfId="108" xr:uid="{00000000-0005-0000-0000-00004B000000}"/>
    <cellStyle name="60% - Accent1 4" xfId="70" xr:uid="{00000000-0005-0000-0000-00004C000000}"/>
    <cellStyle name="60% - Accent2" xfId="24" builtinId="36" customBuiltin="1"/>
    <cellStyle name="60% - Accent2 2" xfId="92" xr:uid="{00000000-0005-0000-0000-000049000000}"/>
    <cellStyle name="60% - Accent2 3" xfId="109" xr:uid="{00000000-0005-0000-0000-00004D000000}"/>
    <cellStyle name="60% - Accent2 4" xfId="71" xr:uid="{00000000-0005-0000-0000-00004F000000}"/>
    <cellStyle name="60% - Accent3" xfId="28" builtinId="40" customBuiltin="1"/>
    <cellStyle name="60% - Accent3 2" xfId="88" xr:uid="{00000000-0005-0000-0000-000030000000}"/>
    <cellStyle name="60% - Accent3 3" xfId="93" xr:uid="{00000000-0005-0000-0000-00004A000000}"/>
    <cellStyle name="60% - Accent3 4" xfId="110" xr:uid="{00000000-0005-0000-0000-00004F000000}"/>
    <cellStyle name="60% - Accent3 5" xfId="72" xr:uid="{00000000-0005-0000-0000-000052000000}"/>
    <cellStyle name="60% - Accent4" xfId="32" builtinId="44" customBuiltin="1"/>
    <cellStyle name="60% - Accent4 2" xfId="94" xr:uid="{00000000-0005-0000-0000-00004B000000}"/>
    <cellStyle name="60% - Accent4 3" xfId="111" xr:uid="{00000000-0005-0000-0000-000052000000}"/>
    <cellStyle name="60% - Accent4 4" xfId="73" xr:uid="{00000000-0005-0000-0000-000056000000}"/>
    <cellStyle name="60% - Accent5" xfId="36" builtinId="48" customBuiltin="1"/>
    <cellStyle name="60% - Accent5 2" xfId="86" xr:uid="{00000000-0005-0000-0000-000031000000}"/>
    <cellStyle name="60% - Accent5 3" xfId="95" xr:uid="{00000000-0005-0000-0000-00004C000000}"/>
    <cellStyle name="60% - Accent5 4" xfId="112" xr:uid="{00000000-0005-0000-0000-000054000000}"/>
    <cellStyle name="60% - Accent5 5" xfId="74" xr:uid="{00000000-0005-0000-0000-000059000000}"/>
    <cellStyle name="60% - Accent6" xfId="40" builtinId="52" customBuiltin="1"/>
    <cellStyle name="60% - Accent6 2" xfId="96" xr:uid="{00000000-0005-0000-0000-00004D000000}"/>
    <cellStyle name="60% - Accent6 3" xfId="113" xr:uid="{00000000-0005-0000-0000-000057000000}"/>
    <cellStyle name="60% - Accent6 4" xfId="75" xr:uid="{00000000-0005-0000-0000-00005D000000}"/>
    <cellStyle name="Accent1" xfId="17" builtinId="29" customBuiltin="1"/>
    <cellStyle name="Accent2" xfId="21" builtinId="33" customBuiltin="1"/>
    <cellStyle name="Accent3" xfId="25" builtinId="37" customBuiltin="1"/>
    <cellStyle name="Accent3 2" xfId="85" xr:uid="{00000000-0005-0000-0000-000032000000}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Bad 2" xfId="82" xr:uid="{00000000-0005-0000-0000-000033000000}"/>
    <cellStyle name="Calculation" xfId="11" builtinId="22" customBuiltin="1"/>
    <cellStyle name="Calculation 2" xfId="84" xr:uid="{00000000-0005-0000-0000-000034000000}"/>
    <cellStyle name="Check Cell" xfId="13" builtinId="23" customBuiltin="1"/>
    <cellStyle name="Comma" xfId="66" builtinId="3"/>
    <cellStyle name="Comma 2" xfId="45" xr:uid="{00000000-0005-0000-0000-000027000000}"/>
    <cellStyle name="Comma 3" xfId="48" xr:uid="{00000000-0005-0000-0000-000028000000}"/>
    <cellStyle name="Comma 4" xfId="42" xr:uid="{00000000-0005-0000-0000-000029000000}"/>
    <cellStyle name="Comma 4 2" xfId="119" xr:uid="{00000000-0005-0000-0000-000029000000}"/>
    <cellStyle name="Comma 4 3" xfId="98" xr:uid="{00000000-0005-0000-0000-000029000000}"/>
    <cellStyle name="Comma 5" xfId="124" xr:uid="{12E8DB15-1801-4B75-B083-CA1C06FC1AD1}"/>
    <cellStyle name="Explanatory Text" xfId="15" builtinId="53" customBuiltin="1"/>
    <cellStyle name="Good" xfId="6" builtinId="26" customBuiltin="1"/>
    <cellStyle name="Good 2" xfId="79" xr:uid="{00000000-0005-0000-0000-000035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77" xr:uid="{00000000-0005-0000-0000-000036000000}"/>
    <cellStyle name="Linked Cell" xfId="12" builtinId="24" customBuiltin="1"/>
    <cellStyle name="Neutral" xfId="8" builtinId="28" customBuiltin="1"/>
    <cellStyle name="Neutral 2" xfId="80" xr:uid="{00000000-0005-0000-0000-000037000000}"/>
    <cellStyle name="Neutral 3" xfId="90" xr:uid="{00000000-0005-0000-0000-000051000000}"/>
    <cellStyle name="Neutral 4" xfId="107" xr:uid="{00000000-0005-0000-0000-00005F000000}"/>
    <cellStyle name="Neutral 5" xfId="69" xr:uid="{00000000-0005-0000-0000-000067000000}"/>
    <cellStyle name="Normal" xfId="0" builtinId="0"/>
    <cellStyle name="Normal 2" xfId="44" xr:uid="{00000000-0005-0000-0000-000034000000}"/>
    <cellStyle name="Normal 2 2" xfId="65" xr:uid="{00000000-0005-0000-0000-000035000000}"/>
    <cellStyle name="Normal 2 2 2" xfId="122" xr:uid="{00000000-0005-0000-0000-000035000000}"/>
    <cellStyle name="Normal 2 2 3" xfId="105" xr:uid="{00000000-0005-0000-0000-000035000000}"/>
    <cellStyle name="Normal 2 3" xfId="100" xr:uid="{00000000-0005-0000-0000-000034000000}"/>
    <cellStyle name="Normal 2 4" xfId="117" xr:uid="{7949E00F-10EB-493B-A06A-F0CF21D29981}"/>
    <cellStyle name="Normal 2 5" xfId="83" xr:uid="{7949E00F-10EB-493B-A06A-F0CF21D29981}"/>
    <cellStyle name="Normal 3" xfId="47" xr:uid="{00000000-0005-0000-0000-000036000000}"/>
    <cellStyle name="Normal 3 2" xfId="101" xr:uid="{00000000-0005-0000-0000-000036000000}"/>
    <cellStyle name="Normal 3 3" xfId="114" xr:uid="{00000000-0005-0000-0000-000038000000}"/>
    <cellStyle name="Normal 3 4" xfId="76" xr:uid="{00000000-0005-0000-0000-000038000000}"/>
    <cellStyle name="Normal 4" xfId="41" xr:uid="{00000000-0005-0000-0000-000037000000}"/>
    <cellStyle name="Normal 4 2" xfId="64" xr:uid="{00000000-0005-0000-0000-000038000000}"/>
    <cellStyle name="Normal 4 2 2" xfId="121" xr:uid="{00000000-0005-0000-0000-000038000000}"/>
    <cellStyle name="Normal 4 2 3" xfId="104" xr:uid="{00000000-0005-0000-0000-000038000000}"/>
    <cellStyle name="Normal 4 3" xfId="97" xr:uid="{00000000-0005-0000-0000-000037000000}"/>
    <cellStyle name="Normal 4 4" xfId="116" xr:uid="{00000000-0005-0000-0000-00003B000000}"/>
    <cellStyle name="Normal 4 5" xfId="81" xr:uid="{00000000-0005-0000-0000-00003B000000}"/>
    <cellStyle name="Normal 5" xfId="123" xr:uid="{AC02648D-088F-4534-A407-09FFC45B34CF}"/>
    <cellStyle name="Note" xfId="63" builtinId="10" customBuiltin="1"/>
    <cellStyle name="Note 2" xfId="46" xr:uid="{00000000-0005-0000-0000-00003A000000}"/>
    <cellStyle name="Note 3" xfId="49" xr:uid="{00000000-0005-0000-0000-00003B000000}"/>
    <cellStyle name="Output" xfId="10" builtinId="21" customBuiltin="1"/>
    <cellStyle name="Percent" xfId="67" builtinId="5"/>
    <cellStyle name="Percent 2" xfId="62" xr:uid="{00000000-0005-0000-0000-00003D000000}"/>
    <cellStyle name="Percent 2 2" xfId="103" xr:uid="{00000000-0005-0000-0000-00003D000000}"/>
    <cellStyle name="Percent 2 3" xfId="115" xr:uid="{4D95B1A1-2245-481D-BCDA-145DD821F22C}"/>
    <cellStyle name="Percent 2 4" xfId="78" xr:uid="{4D95B1A1-2245-481D-BCDA-145DD821F22C}"/>
    <cellStyle name="Percent 3" xfId="43" xr:uid="{00000000-0005-0000-0000-00003E000000}"/>
    <cellStyle name="Percent 3 2" xfId="120" xr:uid="{00000000-0005-0000-0000-00003E000000}"/>
    <cellStyle name="Percent 3 3" xfId="99" xr:uid="{00000000-0005-0000-0000-00003E000000}"/>
    <cellStyle name="Title" xfId="1" builtinId="15" customBuiltin="1"/>
    <cellStyle name="Title 2" xfId="89" xr:uid="{00000000-0005-0000-0000-00005B000000}"/>
    <cellStyle name="Title 3" xfId="106" xr:uid="{00000000-0005-0000-0000-00006D000000}"/>
    <cellStyle name="Title 4" xfId="68" xr:uid="{00000000-0005-0000-0000-00007D000000}"/>
    <cellStyle name="Total" xfId="16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Modeled Boardings</a:t>
            </a:r>
            <a:r>
              <a:rPr lang="en-US" baseline="0"/>
              <a:t> by Agency and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EvOSys!$C$3</c:f>
              <c:strCache>
                <c:ptCount val="1"/>
                <c:pt idx="0">
                  <c:v>2024 Modeled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EvOSys!$A$4:$A$15</c:f>
              <c:strCache>
                <c:ptCount val="12"/>
                <c:pt idx="0">
                  <c:v>MBTA Heavy Rail</c:v>
                </c:pt>
                <c:pt idx="1">
                  <c:v>MBTA Light Rail</c:v>
                </c:pt>
                <c:pt idx="2">
                  <c:v>MBTA Commuter Rail</c:v>
                </c:pt>
                <c:pt idx="3">
                  <c:v>MBTA Ferry</c:v>
                </c:pt>
                <c:pt idx="4">
                  <c:v>MBTA Silver Line</c:v>
                </c:pt>
                <c:pt idx="5">
                  <c:v>MBTA Bus</c:v>
                </c:pt>
                <c:pt idx="6">
                  <c:v>MBTA Key Bus</c:v>
                </c:pt>
                <c:pt idx="7">
                  <c:v>MBTA Express Bus</c:v>
                </c:pt>
                <c:pt idx="8">
                  <c:v>CATA Bus</c:v>
                </c:pt>
                <c:pt idx="9">
                  <c:v>MWRTA Bus</c:v>
                </c:pt>
                <c:pt idx="10">
                  <c:v>MVRTA Bus</c:v>
                </c:pt>
                <c:pt idx="11">
                  <c:v>BAT Bus</c:v>
                </c:pt>
              </c:strCache>
            </c:strRef>
          </c:cat>
          <c:val>
            <c:numRef>
              <c:f>EvOSys!$C$4:$C$15</c:f>
              <c:numCache>
                <c:formatCode>#,##0</c:formatCode>
                <c:ptCount val="12"/>
                <c:pt idx="0">
                  <c:v>291132</c:v>
                </c:pt>
                <c:pt idx="1">
                  <c:v>115221</c:v>
                </c:pt>
                <c:pt idx="2">
                  <c:v>112438</c:v>
                </c:pt>
                <c:pt idx="3">
                  <c:v>4999</c:v>
                </c:pt>
                <c:pt idx="4">
                  <c:v>33237</c:v>
                </c:pt>
                <c:pt idx="5">
                  <c:v>173337</c:v>
                </c:pt>
                <c:pt idx="6">
                  <c:v>119426</c:v>
                </c:pt>
                <c:pt idx="7">
                  <c:v>7100</c:v>
                </c:pt>
                <c:pt idx="8">
                  <c:v>632</c:v>
                </c:pt>
                <c:pt idx="9">
                  <c:v>2472</c:v>
                </c:pt>
                <c:pt idx="10">
                  <c:v>7461</c:v>
                </c:pt>
                <c:pt idx="11">
                  <c:v>12052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A-466D-8D30-10D97AAFEB36}"/>
            </c:ext>
          </c:extLst>
        </c:ser>
        <c:ser>
          <c:idx val="1"/>
          <c:order val="1"/>
          <c:tx>
            <c:strRef>
              <c:f>EvOSys!$D$3</c:f>
              <c:strCache>
                <c:ptCount val="1"/>
                <c:pt idx="0">
                  <c:v>2045 Modeled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EvOSys!$D$4:$D$15</c:f>
              <c:numCache>
                <c:formatCode>#,##0</c:formatCode>
                <c:ptCount val="12"/>
                <c:pt idx="0">
                  <c:v>362802</c:v>
                </c:pt>
                <c:pt idx="1">
                  <c:v>129932</c:v>
                </c:pt>
                <c:pt idx="2">
                  <c:v>179103</c:v>
                </c:pt>
                <c:pt idx="3">
                  <c:v>3569</c:v>
                </c:pt>
                <c:pt idx="4">
                  <c:v>49244</c:v>
                </c:pt>
                <c:pt idx="5">
                  <c:v>259261</c:v>
                </c:pt>
                <c:pt idx="6">
                  <c:v>174188</c:v>
                </c:pt>
                <c:pt idx="7">
                  <c:v>6962</c:v>
                </c:pt>
                <c:pt idx="8">
                  <c:v>636</c:v>
                </c:pt>
                <c:pt idx="9">
                  <c:v>2826</c:v>
                </c:pt>
                <c:pt idx="10">
                  <c:v>8230</c:v>
                </c:pt>
                <c:pt idx="11">
                  <c:v>14549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1A-466D-8D30-10D97AAFEB36}"/>
            </c:ext>
          </c:extLst>
        </c:ser>
        <c:ser>
          <c:idx val="2"/>
          <c:order val="2"/>
          <c:tx>
            <c:strRef>
              <c:f>EvOSys!$F$3</c:f>
              <c:strCache>
                <c:ptCount val="1"/>
                <c:pt idx="0">
                  <c:v>2050 Modeled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EvOSys!$F$4:$F$15</c:f>
              <c:numCache>
                <c:formatCode>#,##0</c:formatCode>
                <c:ptCount val="12"/>
                <c:pt idx="0">
                  <c:v>370339</c:v>
                </c:pt>
                <c:pt idx="1">
                  <c:v>140600</c:v>
                </c:pt>
                <c:pt idx="2">
                  <c:v>179697</c:v>
                </c:pt>
                <c:pt idx="3">
                  <c:v>3522</c:v>
                </c:pt>
                <c:pt idx="4">
                  <c:v>49623</c:v>
                </c:pt>
                <c:pt idx="5">
                  <c:v>263916</c:v>
                </c:pt>
                <c:pt idx="6">
                  <c:v>182324</c:v>
                </c:pt>
                <c:pt idx="7">
                  <c:v>6955</c:v>
                </c:pt>
                <c:pt idx="8">
                  <c:v>640</c:v>
                </c:pt>
                <c:pt idx="9">
                  <c:v>2833</c:v>
                </c:pt>
                <c:pt idx="10">
                  <c:v>8315</c:v>
                </c:pt>
                <c:pt idx="11">
                  <c:v>14598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1A-466D-8D30-10D97AAFE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977823"/>
        <c:axId val="1903977343"/>
      </c:barChart>
      <c:catAx>
        <c:axId val="190397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Agency and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77343"/>
        <c:crosses val="autoZero"/>
        <c:auto val="1"/>
        <c:lblAlgn val="ctr"/>
        <c:lblOffset val="100"/>
        <c:noMultiLvlLbl val="0"/>
      </c:catAx>
      <c:valAx>
        <c:axId val="190397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Boardings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97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265044</xdr:colOff>
      <xdr:row>2</xdr:row>
      <xdr:rowOff>19879</xdr:rowOff>
    </xdr:from>
    <xdr:to>
      <xdr:col>12</xdr:col>
      <xdr:colOff>1118152</xdr:colOff>
      <xdr:row>20</xdr:row>
      <xdr:rowOff>99392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EF057-D869-DC00-C73A-586E33EF1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Shared%20drives\TMD_TSA\BRSTOPS\Model%20Scenarios\BRSTOPS_2024BaseYear_20251216\Completed%20Run\Boston_Regional_STOPS%20_mbta50_2045_comparison_2024.xlsx" TargetMode="External"/><Relationship Id="rId1" Type="http://schemas.openxmlformats.org/officeDocument/2006/relationships/externalLinkPath" Target="Boston_Regional_STOPS%20_mbta50_2045_comparison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710C-B521-474B-9B27-6A31E57D260F}">
  <sheetPr codeName="Sheet21">
    <tabColor rgb="FF92D050"/>
  </sheetPr>
  <dimension ref="A2:G53"/>
  <sheetViews>
    <sheetView tabSelected="1" zoomScale="115" zoomScaleNormal="115" zoomScaleSheetLayoutView="90" workbookViewId="0">
      <selection activeCell="O23" sqref="O23"/>
    </sheetView>
  </sheetViews>
  <sheetFormatPr defaultColWidth="9.140625" defaultRowHeight="15" x14ac:dyDescent="0.25"/>
  <cols>
    <col min="1" max="1" width="20.28515625" customWidth="1"/>
    <col min="2" max="2" width="0.5703125" customWidth="1"/>
    <col min="3" max="7" width="10" customWidth="1"/>
    <col min="9" max="9" width="16.28515625" customWidth="1"/>
    <col min="13" max="13" width="17" customWidth="1"/>
  </cols>
  <sheetData>
    <row r="2" spans="1:7" x14ac:dyDescent="0.25">
      <c r="A2" s="61" t="s">
        <v>4</v>
      </c>
    </row>
    <row r="3" spans="1:7" ht="27" customHeight="1" x14ac:dyDescent="0.25">
      <c r="A3" s="102" t="s">
        <v>5</v>
      </c>
      <c r="B3" s="47"/>
      <c r="C3" s="107" t="s">
        <v>697</v>
      </c>
      <c r="D3" s="46" t="s">
        <v>698</v>
      </c>
      <c r="E3" s="46" t="s">
        <v>692</v>
      </c>
      <c r="F3" s="107" t="s">
        <v>699</v>
      </c>
      <c r="G3" s="46" t="s">
        <v>696</v>
      </c>
    </row>
    <row r="4" spans="1:7" x14ac:dyDescent="0.25">
      <c r="A4" s="48" t="s">
        <v>693</v>
      </c>
      <c r="B4" s="47"/>
      <c r="C4" s="104">
        <v>291132</v>
      </c>
      <c r="D4" s="104">
        <f>'EvO10.01-2045'!$M274</f>
        <v>362802</v>
      </c>
      <c r="E4" s="105">
        <f>(D4-C4)/C4</f>
        <v>0.24617699187997197</v>
      </c>
      <c r="F4" s="104">
        <f>'EvO10.01-2050'!M274</f>
        <v>370339</v>
      </c>
      <c r="G4" s="105">
        <f>(F4-C4)/C4</f>
        <v>0.27206559223994614</v>
      </c>
    </row>
    <row r="5" spans="1:7" x14ac:dyDescent="0.25">
      <c r="A5" s="48" t="s">
        <v>694</v>
      </c>
      <c r="B5" s="47"/>
      <c r="C5" s="104">
        <v>115221</v>
      </c>
      <c r="D5" s="104">
        <f>'EvO10.01-2045'!$M275</f>
        <v>129932</v>
      </c>
      <c r="E5" s="105">
        <f>(D5-C5)/C5</f>
        <v>0.12767637843795837</v>
      </c>
      <c r="F5" s="104">
        <f>'EvO10.01-2050'!M275</f>
        <v>140600</v>
      </c>
      <c r="G5" s="105">
        <f t="shared" ref="G5:G16" si="0">(F5-C5)/C5</f>
        <v>0.22026366721344198</v>
      </c>
    </row>
    <row r="6" spans="1:7" x14ac:dyDescent="0.25">
      <c r="A6" s="48" t="s">
        <v>80</v>
      </c>
      <c r="B6" s="47"/>
      <c r="C6" s="104">
        <v>112438</v>
      </c>
      <c r="D6" s="104">
        <f>'EvO10.01-2045'!$M276</f>
        <v>179103</v>
      </c>
      <c r="E6" s="105">
        <f>(D6-C6)/C6</f>
        <v>0.59290453405432331</v>
      </c>
      <c r="F6" s="104">
        <f>'EvO10.01-2050'!M276</f>
        <v>179697</v>
      </c>
      <c r="G6" s="105">
        <f t="shared" si="0"/>
        <v>0.59818744552553405</v>
      </c>
    </row>
    <row r="7" spans="1:7" x14ac:dyDescent="0.25">
      <c r="A7" s="48" t="s">
        <v>131</v>
      </c>
      <c r="B7" s="47"/>
      <c r="C7" s="104">
        <v>4999</v>
      </c>
      <c r="D7" s="104">
        <f>'EvO10.01-2045'!$M277</f>
        <v>3569</v>
      </c>
      <c r="E7" s="105">
        <f>(D7-C7)/C7</f>
        <v>-0.28605721144228846</v>
      </c>
      <c r="F7" s="104">
        <f>'EvO10.01-2050'!M277</f>
        <v>3522</v>
      </c>
      <c r="G7" s="105">
        <f t="shared" si="0"/>
        <v>-0.29545909181836366</v>
      </c>
    </row>
    <row r="8" spans="1:7" x14ac:dyDescent="0.25">
      <c r="A8" s="48" t="s">
        <v>695</v>
      </c>
      <c r="B8" s="47"/>
      <c r="C8" s="104">
        <v>33237</v>
      </c>
      <c r="D8" s="104">
        <f>'EvO10.01-2045'!$M278</f>
        <v>49244</v>
      </c>
      <c r="E8" s="105">
        <f>(D8-C8)/C8</f>
        <v>0.48160182928663836</v>
      </c>
      <c r="F8" s="104">
        <f>'EvO10.01-2050'!M278</f>
        <v>49623</v>
      </c>
      <c r="G8" s="105">
        <f t="shared" si="0"/>
        <v>0.49300478382525498</v>
      </c>
    </row>
    <row r="9" spans="1:7" x14ac:dyDescent="0.25">
      <c r="A9" s="48" t="s">
        <v>11</v>
      </c>
      <c r="B9" s="47"/>
      <c r="C9" s="104">
        <v>173337</v>
      </c>
      <c r="D9" s="104">
        <f>'EvO10.01-2045'!$M279</f>
        <v>259261</v>
      </c>
      <c r="E9" s="105">
        <f>(D9-C9)/C9</f>
        <v>0.49570489855022298</v>
      </c>
      <c r="F9" s="104">
        <f>'EvO10.01-2050'!M279</f>
        <v>263916</v>
      </c>
      <c r="G9" s="105">
        <f t="shared" si="0"/>
        <v>0.5225600996901989</v>
      </c>
    </row>
    <row r="10" spans="1:7" x14ac:dyDescent="0.25">
      <c r="A10" s="48" t="s">
        <v>12</v>
      </c>
      <c r="B10" s="47"/>
      <c r="C10" s="104">
        <v>119426</v>
      </c>
      <c r="D10" s="104">
        <f>'EvO10.01-2045'!$M280</f>
        <v>174188</v>
      </c>
      <c r="E10" s="105">
        <f>(D10-C10)/C10</f>
        <v>0.45854336576624855</v>
      </c>
      <c r="F10" s="104">
        <f>'EvO10.01-2050'!M280</f>
        <v>182324</v>
      </c>
      <c r="G10" s="105">
        <f t="shared" si="0"/>
        <v>0.5266692345050491</v>
      </c>
    </row>
    <row r="11" spans="1:7" x14ac:dyDescent="0.25">
      <c r="A11" s="48" t="s">
        <v>669</v>
      </c>
      <c r="B11" s="47"/>
      <c r="C11" s="104">
        <v>7100</v>
      </c>
      <c r="D11" s="104">
        <f>'EvO10.01-2045'!$M281</f>
        <v>6962</v>
      </c>
      <c r="E11" s="105">
        <f>(D11-C11)/C11</f>
        <v>-1.9436619718309858E-2</v>
      </c>
      <c r="F11" s="104">
        <f>'EvO10.01-2050'!M281</f>
        <v>6955</v>
      </c>
      <c r="G11" s="105">
        <f t="shared" si="0"/>
        <v>-2.0422535211267606E-2</v>
      </c>
    </row>
    <row r="12" spans="1:7" x14ac:dyDescent="0.25">
      <c r="A12" s="48" t="s">
        <v>13</v>
      </c>
      <c r="B12" s="47"/>
      <c r="C12" s="104">
        <v>632</v>
      </c>
      <c r="D12" s="104">
        <f>'EvO10.01-2045'!$M282</f>
        <v>636</v>
      </c>
      <c r="E12" s="105">
        <f>(D12-C12)/C12</f>
        <v>6.3291139240506328E-3</v>
      </c>
      <c r="F12" s="104">
        <f>'EvO10.01-2050'!M282</f>
        <v>640</v>
      </c>
      <c r="G12" s="105">
        <f t="shared" si="0"/>
        <v>1.2658227848101266E-2</v>
      </c>
    </row>
    <row r="13" spans="1:7" x14ac:dyDescent="0.25">
      <c r="A13" s="48" t="s">
        <v>14</v>
      </c>
      <c r="B13" s="47"/>
      <c r="C13" s="104">
        <v>2472</v>
      </c>
      <c r="D13" s="104">
        <f>'EvO10.01-2045'!$M283</f>
        <v>2826</v>
      </c>
      <c r="E13" s="105">
        <f>(D13-C13)/C13</f>
        <v>0.14320388349514562</v>
      </c>
      <c r="F13" s="104">
        <f>'EvO10.01-2050'!M283</f>
        <v>2833</v>
      </c>
      <c r="G13" s="105">
        <f t="shared" si="0"/>
        <v>0.14603559870550162</v>
      </c>
    </row>
    <row r="14" spans="1:7" x14ac:dyDescent="0.25">
      <c r="A14" s="48" t="s">
        <v>15</v>
      </c>
      <c r="B14" s="47"/>
      <c r="C14" s="104">
        <v>7461</v>
      </c>
      <c r="D14" s="104">
        <f>'EvO10.01-2045'!$M284</f>
        <v>8230</v>
      </c>
      <c r="E14" s="105">
        <f>(D14-C14)/C14</f>
        <v>0.10306929366036724</v>
      </c>
      <c r="F14" s="104">
        <f>'EvO10.01-2050'!M284</f>
        <v>8315</v>
      </c>
      <c r="G14" s="105">
        <f t="shared" si="0"/>
        <v>0.11446186838225439</v>
      </c>
    </row>
    <row r="15" spans="1:7" x14ac:dyDescent="0.25">
      <c r="A15" s="48" t="s">
        <v>16</v>
      </c>
      <c r="B15" s="47"/>
      <c r="C15" s="104">
        <v>12052</v>
      </c>
      <c r="D15" s="104">
        <f>'EvO10.01-2045'!$M285</f>
        <v>14549</v>
      </c>
      <c r="E15" s="105">
        <f>(D15-C15)/C15</f>
        <v>0.20718552937271822</v>
      </c>
      <c r="F15" s="104">
        <f>'EvO10.01-2050'!M285</f>
        <v>14598</v>
      </c>
      <c r="G15" s="105">
        <f t="shared" si="0"/>
        <v>0.21125124460670427</v>
      </c>
    </row>
    <row r="16" spans="1:7" x14ac:dyDescent="0.25">
      <c r="A16" s="102" t="s">
        <v>3</v>
      </c>
      <c r="B16" s="103"/>
      <c r="C16" s="106">
        <v>879507</v>
      </c>
      <c r="D16" s="106">
        <f>SUM(D4:D15)</f>
        <v>1191302</v>
      </c>
      <c r="E16" s="105">
        <f>(D16-C16)/C16</f>
        <v>0.35451110679050879</v>
      </c>
      <c r="F16" s="106">
        <f>SUM(F4:F15)</f>
        <v>1223362</v>
      </c>
      <c r="G16" s="105">
        <f t="shared" si="0"/>
        <v>0.39096334651117048</v>
      </c>
    </row>
    <row r="17" spans="3:7" x14ac:dyDescent="0.25">
      <c r="C17" s="3"/>
      <c r="F17" s="3"/>
      <c r="G17" s="3"/>
    </row>
    <row r="18" spans="3:7" x14ac:dyDescent="0.25">
      <c r="C18" s="3"/>
      <c r="F18" s="3"/>
      <c r="G18" s="3"/>
    </row>
    <row r="23" spans="3:7" x14ac:dyDescent="0.25">
      <c r="F23" s="1"/>
    </row>
    <row r="24" spans="3:7" x14ac:dyDescent="0.25">
      <c r="F24" s="1"/>
    </row>
    <row r="25" spans="3:7" x14ac:dyDescent="0.25">
      <c r="F25" s="1"/>
    </row>
    <row r="26" spans="3:7" x14ac:dyDescent="0.25">
      <c r="F26" s="1"/>
    </row>
    <row r="27" spans="3:7" x14ac:dyDescent="0.25">
      <c r="F27" s="1"/>
    </row>
    <row r="28" spans="3:7" x14ac:dyDescent="0.25">
      <c r="F28" s="1"/>
    </row>
    <row r="29" spans="3:7" x14ac:dyDescent="0.25">
      <c r="F29" s="1"/>
    </row>
    <row r="30" spans="3:7" x14ac:dyDescent="0.25">
      <c r="F30" s="1"/>
    </row>
    <row r="31" spans="3:7" x14ac:dyDescent="0.25">
      <c r="F31" s="1"/>
    </row>
    <row r="32" spans="3:7" x14ac:dyDescent="0.25">
      <c r="F32" s="1"/>
    </row>
    <row r="33" spans="1:6" x14ac:dyDescent="0.25">
      <c r="F33" s="1"/>
    </row>
    <row r="34" spans="1:6" x14ac:dyDescent="0.25">
      <c r="F34" s="1"/>
    </row>
    <row r="35" spans="1:6" x14ac:dyDescent="0.25">
      <c r="F35" s="1"/>
    </row>
    <row r="36" spans="1:6" x14ac:dyDescent="0.25">
      <c r="F36" s="1"/>
    </row>
    <row r="37" spans="1:6" x14ac:dyDescent="0.25">
      <c r="F37" s="1"/>
    </row>
    <row r="38" spans="1:6" x14ac:dyDescent="0.25">
      <c r="F38" s="1"/>
    </row>
    <row r="39" spans="1:6" x14ac:dyDescent="0.25">
      <c r="A39" s="49" t="s">
        <v>17</v>
      </c>
      <c r="B39" s="47"/>
      <c r="C39" s="47"/>
      <c r="F39" s="46" t="s">
        <v>2</v>
      </c>
    </row>
    <row r="40" spans="1:6" x14ac:dyDescent="0.25">
      <c r="A40" s="48" t="s">
        <v>18</v>
      </c>
      <c r="B40" s="47"/>
      <c r="C40" s="47"/>
      <c r="F40" s="33" t="e">
        <f>#REF!</f>
        <v>#REF!</v>
      </c>
    </row>
    <row r="41" spans="1:6" x14ac:dyDescent="0.25">
      <c r="A41" s="48" t="s">
        <v>19</v>
      </c>
      <c r="B41" s="47"/>
      <c r="C41" s="47"/>
      <c r="F41" s="33" t="e">
        <f>#REF!</f>
        <v>#REF!</v>
      </c>
    </row>
    <row r="42" spans="1:6" x14ac:dyDescent="0.25">
      <c r="A42" s="48" t="s">
        <v>20</v>
      </c>
      <c r="B42" s="47"/>
      <c r="C42" s="47"/>
      <c r="F42" s="33" t="e">
        <f>#REF!</f>
        <v>#REF!</v>
      </c>
    </row>
    <row r="43" spans="1:6" x14ac:dyDescent="0.25">
      <c r="A43" s="48" t="s">
        <v>21</v>
      </c>
      <c r="B43" s="47"/>
      <c r="C43" s="47"/>
      <c r="F43" s="33" t="e">
        <f>#REF!</f>
        <v>#REF!</v>
      </c>
    </row>
    <row r="44" spans="1:6" ht="4.5" customHeight="1" x14ac:dyDescent="0.25">
      <c r="A44" s="47"/>
      <c r="B44" s="47"/>
      <c r="C44" s="47"/>
      <c r="F44" s="47"/>
    </row>
    <row r="45" spans="1:6" x14ac:dyDescent="0.25">
      <c r="A45" s="48" t="s">
        <v>22</v>
      </c>
      <c r="B45" s="47"/>
      <c r="C45" s="47"/>
      <c r="F45" s="33" t="e">
        <f>#REF!</f>
        <v>#REF!</v>
      </c>
    </row>
    <row r="46" spans="1:6" x14ac:dyDescent="0.25">
      <c r="A46" s="48" t="s">
        <v>23</v>
      </c>
      <c r="B46" s="47"/>
      <c r="C46" s="47"/>
      <c r="F46" s="33" t="e">
        <f>#REF!</f>
        <v>#REF!</v>
      </c>
    </row>
    <row r="47" spans="1:6" x14ac:dyDescent="0.25">
      <c r="A47" s="48" t="s">
        <v>24</v>
      </c>
      <c r="B47" s="47"/>
      <c r="C47" s="47"/>
      <c r="F47" s="33" t="e">
        <f>#REF!</f>
        <v>#REF!</v>
      </c>
    </row>
    <row r="48" spans="1:6" x14ac:dyDescent="0.25">
      <c r="A48" s="48" t="s">
        <v>25</v>
      </c>
      <c r="B48" s="47"/>
      <c r="C48" s="47"/>
      <c r="F48" s="33" t="e">
        <f>#REF!</f>
        <v>#REF!</v>
      </c>
    </row>
    <row r="49" spans="1:6" ht="4.5" customHeight="1" x14ac:dyDescent="0.25">
      <c r="A49" s="47"/>
      <c r="B49" s="47"/>
      <c r="C49" s="47"/>
      <c r="F49" s="47"/>
    </row>
    <row r="50" spans="1:6" x14ac:dyDescent="0.25">
      <c r="A50" s="48" t="s">
        <v>26</v>
      </c>
      <c r="B50" s="47"/>
      <c r="C50" s="47"/>
      <c r="F50" s="33" t="e">
        <f>#REF!</f>
        <v>#REF!</v>
      </c>
    </row>
    <row r="51" spans="1:6" x14ac:dyDescent="0.25">
      <c r="A51" s="48" t="s">
        <v>27</v>
      </c>
      <c r="B51" s="47"/>
      <c r="C51" s="47"/>
      <c r="F51" s="33" t="e">
        <f>#REF!</f>
        <v>#REF!</v>
      </c>
    </row>
    <row r="52" spans="1:6" x14ac:dyDescent="0.25">
      <c r="A52" s="48" t="s">
        <v>28</v>
      </c>
      <c r="B52" s="47"/>
      <c r="C52" s="47"/>
      <c r="F52" s="33" t="e">
        <f>#REF!</f>
        <v>#REF!</v>
      </c>
    </row>
    <row r="53" spans="1:6" x14ac:dyDescent="0.25">
      <c r="A53" s="48" t="s">
        <v>29</v>
      </c>
      <c r="B53" s="47"/>
      <c r="C53" s="47"/>
      <c r="F53" s="33" t="e">
        <f>#REF!</f>
        <v>#REF!</v>
      </c>
    </row>
  </sheetData>
  <pageMargins left="0.7" right="0.7" top="0.75" bottom="0.75" header="0.3" footer="0.3"/>
  <pageSetup scale="98" orientation="landscape" r:id="rId1"/>
  <headerFooter>
    <oddFooter>&amp;L&amp;F&amp;R&amp;D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9E0B-7B57-41D7-8AD0-45B78A9D70C6}">
  <sheetPr>
    <tabColor rgb="FF92D050"/>
  </sheetPr>
  <dimension ref="A2:U299"/>
  <sheetViews>
    <sheetView zoomScale="85" zoomScaleNormal="85" zoomScaleSheetLayoutView="115" workbookViewId="0">
      <pane ySplit="7" topLeftCell="A8" activePane="bottomLeft" state="frozen"/>
      <selection activeCell="E4" sqref="E4:F4"/>
      <selection pane="bottomLeft" activeCell="N1" sqref="N1:R1048576"/>
    </sheetView>
  </sheetViews>
  <sheetFormatPr defaultColWidth="9.140625" defaultRowHeight="15" x14ac:dyDescent="0.25"/>
  <cols>
    <col min="1" max="1" width="15.42578125" customWidth="1"/>
    <col min="2" max="2" width="38.28515625" customWidth="1"/>
    <col min="3" max="3" width="12.85546875" customWidth="1"/>
    <col min="4" max="4" width="19.85546875" bestFit="1" customWidth="1"/>
    <col min="5" max="5" width="19.5703125" bestFit="1" customWidth="1"/>
    <col min="6" max="6" width="12.28515625" customWidth="1"/>
    <col min="7" max="8" width="10.5703125" customWidth="1"/>
    <col min="9" max="9" width="12.28515625" bestFit="1" customWidth="1"/>
    <col min="10" max="10" width="12.28515625" customWidth="1"/>
    <col min="11" max="12" width="10.5703125" customWidth="1"/>
    <col min="13" max="13" width="12.140625" bestFit="1" customWidth="1"/>
    <col min="14" max="14" width="12.85546875" style="65" bestFit="1" customWidth="1"/>
    <col min="15" max="15" width="28.42578125" hidden="1" customWidth="1"/>
    <col min="16" max="16" width="77.7109375" hidden="1" customWidth="1"/>
    <col min="17" max="17" width="9.140625" hidden="1" customWidth="1"/>
    <col min="18" max="18" width="9.85546875" hidden="1" customWidth="1"/>
    <col min="19" max="20" width="9.140625" hidden="1" customWidth="1"/>
  </cols>
  <sheetData>
    <row r="2" spans="1:20" ht="21" x14ac:dyDescent="0.35">
      <c r="A2" s="10" t="s">
        <v>30</v>
      </c>
      <c r="L2" s="4" t="s">
        <v>31</v>
      </c>
    </row>
    <row r="3" spans="1:20" x14ac:dyDescent="0.25">
      <c r="A3" s="2"/>
      <c r="L3" s="4"/>
    </row>
    <row r="4" spans="1:20" ht="15.75" thickBot="1" x14ac:dyDescent="0.3">
      <c r="A4" s="2"/>
      <c r="J4" s="4">
        <v>8</v>
      </c>
      <c r="K4" s="4">
        <v>9</v>
      </c>
      <c r="L4" s="4">
        <v>10</v>
      </c>
    </row>
    <row r="5" spans="1:20" ht="27" customHeight="1" thickBot="1" x14ac:dyDescent="0.3">
      <c r="A5" s="17"/>
      <c r="B5" s="18"/>
      <c r="C5" s="27"/>
      <c r="D5" s="27"/>
      <c r="E5" s="27"/>
      <c r="F5" s="96" t="s">
        <v>0</v>
      </c>
      <c r="G5" s="97"/>
      <c r="H5" s="97"/>
      <c r="I5" s="98"/>
      <c r="J5" s="99" t="s">
        <v>691</v>
      </c>
      <c r="K5" s="100"/>
      <c r="L5" s="100"/>
      <c r="M5" s="101"/>
      <c r="N5" s="66"/>
      <c r="O5" t="s">
        <v>33</v>
      </c>
      <c r="P5" t="s">
        <v>34</v>
      </c>
      <c r="Q5" t="s">
        <v>35</v>
      </c>
      <c r="R5" t="s">
        <v>36</v>
      </c>
      <c r="S5" t="s">
        <v>670</v>
      </c>
      <c r="T5" t="s">
        <v>41</v>
      </c>
    </row>
    <row r="6" spans="1:20" x14ac:dyDescent="0.25">
      <c r="A6" s="19" t="s">
        <v>37</v>
      </c>
      <c r="B6" s="7" t="s">
        <v>38</v>
      </c>
      <c r="C6" s="28" t="s">
        <v>39</v>
      </c>
      <c r="D6" s="28" t="s">
        <v>40</v>
      </c>
      <c r="E6" s="28" t="s">
        <v>41</v>
      </c>
      <c r="F6" s="92" t="s">
        <v>42</v>
      </c>
      <c r="G6" s="16" t="s">
        <v>43</v>
      </c>
      <c r="H6" s="16" t="s">
        <v>44</v>
      </c>
      <c r="I6" s="20" t="s">
        <v>45</v>
      </c>
      <c r="J6" s="92" t="s">
        <v>42</v>
      </c>
      <c r="K6" s="16" t="s">
        <v>43</v>
      </c>
      <c r="L6" s="16" t="s">
        <v>44</v>
      </c>
      <c r="M6" s="20" t="s">
        <v>45</v>
      </c>
      <c r="N6" s="66"/>
      <c r="O6" t="s">
        <v>47</v>
      </c>
      <c r="P6" t="s">
        <v>48</v>
      </c>
      <c r="Q6">
        <v>1</v>
      </c>
      <c r="R6">
        <v>133995</v>
      </c>
      <c r="S6" t="s">
        <v>51</v>
      </c>
      <c r="T6" t="s">
        <v>6</v>
      </c>
    </row>
    <row r="7" spans="1:20" ht="22.5" customHeight="1" thickBot="1" x14ac:dyDescent="0.3">
      <c r="A7" s="12"/>
      <c r="B7" s="13"/>
      <c r="C7" s="29"/>
      <c r="D7" s="29"/>
      <c r="E7" s="29"/>
      <c r="F7" s="41"/>
      <c r="G7" s="13"/>
      <c r="H7" s="13"/>
      <c r="I7" s="23"/>
      <c r="J7" s="41"/>
      <c r="K7" s="13"/>
      <c r="L7" s="13"/>
      <c r="M7" s="23"/>
      <c r="N7" s="67"/>
      <c r="O7" t="s">
        <v>49</v>
      </c>
      <c r="P7" t="s">
        <v>50</v>
      </c>
      <c r="Q7">
        <v>2</v>
      </c>
      <c r="R7">
        <v>4523</v>
      </c>
      <c r="S7" t="s">
        <v>63</v>
      </c>
      <c r="T7" t="s">
        <v>671</v>
      </c>
    </row>
    <row r="8" spans="1:20" x14ac:dyDescent="0.25">
      <c r="A8" s="37" t="s">
        <v>47</v>
      </c>
      <c r="B8" t="s">
        <v>48</v>
      </c>
      <c r="C8" t="s">
        <v>51</v>
      </c>
      <c r="D8" t="s">
        <v>52</v>
      </c>
      <c r="E8" t="s">
        <v>6</v>
      </c>
      <c r="F8" s="70"/>
      <c r="G8" s="3"/>
      <c r="H8" s="3"/>
      <c r="I8" s="38">
        <f>VLOOKUP(A8,$O$5:$R$279,4,0)</f>
        <v>133995</v>
      </c>
      <c r="J8" s="70">
        <v>123529</v>
      </c>
      <c r="K8" s="3">
        <v>9486</v>
      </c>
      <c r="L8" s="3">
        <v>21558</v>
      </c>
      <c r="M8" s="38">
        <f>SUM(J8:L8)</f>
        <v>154573</v>
      </c>
      <c r="N8" s="67"/>
      <c r="O8" t="s">
        <v>53</v>
      </c>
      <c r="P8" t="s">
        <v>54</v>
      </c>
      <c r="Q8">
        <v>3</v>
      </c>
      <c r="R8">
        <v>115769</v>
      </c>
      <c r="S8" t="s">
        <v>55</v>
      </c>
      <c r="T8" t="s">
        <v>6</v>
      </c>
    </row>
    <row r="9" spans="1:20" x14ac:dyDescent="0.25">
      <c r="A9" s="37" t="s">
        <v>53</v>
      </c>
      <c r="B9" t="s">
        <v>54</v>
      </c>
      <c r="C9" t="s">
        <v>55</v>
      </c>
      <c r="D9" t="s">
        <v>52</v>
      </c>
      <c r="E9" t="s">
        <v>6</v>
      </c>
      <c r="F9" s="70"/>
      <c r="G9" s="3"/>
      <c r="H9" s="3"/>
      <c r="I9" s="38">
        <f>VLOOKUP(A9,$O$5:$R$279,4,0)</f>
        <v>115769</v>
      </c>
      <c r="J9" s="70">
        <v>112124</v>
      </c>
      <c r="K9" s="3">
        <v>10039</v>
      </c>
      <c r="L9" s="3">
        <v>23190</v>
      </c>
      <c r="M9" s="38">
        <f>SUM(J9:L9)</f>
        <v>145353</v>
      </c>
      <c r="N9" s="67"/>
      <c r="O9" t="s">
        <v>56</v>
      </c>
      <c r="P9" t="s">
        <v>57</v>
      </c>
      <c r="Q9">
        <v>4</v>
      </c>
      <c r="R9">
        <v>113376</v>
      </c>
      <c r="S9" t="s">
        <v>67</v>
      </c>
      <c r="T9" t="s">
        <v>7</v>
      </c>
    </row>
    <row r="10" spans="1:20" ht="15.75" thickBot="1" x14ac:dyDescent="0.3">
      <c r="A10" s="37" t="s">
        <v>58</v>
      </c>
      <c r="B10" t="s">
        <v>59</v>
      </c>
      <c r="C10" t="s">
        <v>60</v>
      </c>
      <c r="D10" t="s">
        <v>52</v>
      </c>
      <c r="E10" t="s">
        <v>6</v>
      </c>
      <c r="F10" s="70"/>
      <c r="G10" s="3"/>
      <c r="H10" s="3"/>
      <c r="I10" s="38">
        <f>VLOOKUP(A10,$O$5:$R$279,4,0)</f>
        <v>47213</v>
      </c>
      <c r="J10" s="70">
        <v>49792</v>
      </c>
      <c r="K10" s="3">
        <v>3359</v>
      </c>
      <c r="L10" s="3">
        <v>9725</v>
      </c>
      <c r="M10" s="38">
        <f>SUM(J10:L10)</f>
        <v>62876</v>
      </c>
      <c r="N10" s="67"/>
      <c r="O10" t="s">
        <v>61</v>
      </c>
      <c r="P10" t="s">
        <v>62</v>
      </c>
      <c r="Q10">
        <v>4</v>
      </c>
      <c r="R10">
        <v>0</v>
      </c>
      <c r="S10" t="s">
        <v>70</v>
      </c>
      <c r="T10" t="s">
        <v>7</v>
      </c>
    </row>
    <row r="11" spans="1:20" x14ac:dyDescent="0.25">
      <c r="A11" s="53" t="s">
        <v>49</v>
      </c>
      <c r="B11" s="54" t="s">
        <v>50</v>
      </c>
      <c r="C11" s="54" t="s">
        <v>63</v>
      </c>
      <c r="D11" s="54" t="s">
        <v>64</v>
      </c>
      <c r="E11" s="54" t="s">
        <v>7</v>
      </c>
      <c r="F11" s="78"/>
      <c r="G11" s="55"/>
      <c r="H11" s="55"/>
      <c r="I11" s="56">
        <f>VLOOKUP(A11,$O$5:$R$279,4,0)</f>
        <v>4523</v>
      </c>
      <c r="J11" s="78">
        <v>3957</v>
      </c>
      <c r="K11" s="55">
        <v>331</v>
      </c>
      <c r="L11" s="55">
        <v>1147</v>
      </c>
      <c r="M11" s="56">
        <f>SUM(J11:L11)</f>
        <v>5435</v>
      </c>
      <c r="N11" s="67"/>
      <c r="O11" t="s">
        <v>65</v>
      </c>
      <c r="P11" t="s">
        <v>66</v>
      </c>
      <c r="Q11">
        <v>4</v>
      </c>
      <c r="R11">
        <v>0</v>
      </c>
      <c r="S11" t="s">
        <v>71</v>
      </c>
      <c r="T11" t="s">
        <v>7</v>
      </c>
    </row>
    <row r="12" spans="1:20" x14ac:dyDescent="0.25">
      <c r="A12" s="42" t="s">
        <v>56</v>
      </c>
      <c r="B12" s="43" t="s">
        <v>57</v>
      </c>
      <c r="C12" s="43" t="s">
        <v>67</v>
      </c>
      <c r="D12" s="43" t="s">
        <v>64</v>
      </c>
      <c r="E12" s="43" t="s">
        <v>7</v>
      </c>
      <c r="F12" s="79"/>
      <c r="G12" s="80"/>
      <c r="H12" s="80"/>
      <c r="I12" s="44">
        <f>VLOOKUP(A12,$O$5:$R$279,4,0)</f>
        <v>113376</v>
      </c>
      <c r="J12" s="79">
        <v>30461</v>
      </c>
      <c r="K12" s="80">
        <v>1605</v>
      </c>
      <c r="L12" s="80">
        <v>2316</v>
      </c>
      <c r="M12" s="44">
        <f>SUM(J12:L12)</f>
        <v>34382</v>
      </c>
      <c r="N12" s="67"/>
      <c r="O12" t="s">
        <v>68</v>
      </c>
      <c r="P12" t="s">
        <v>69</v>
      </c>
      <c r="Q12">
        <v>4</v>
      </c>
      <c r="R12">
        <v>0</v>
      </c>
      <c r="S12" t="s">
        <v>74</v>
      </c>
      <c r="T12" t="s">
        <v>7</v>
      </c>
    </row>
    <row r="13" spans="1:20" x14ac:dyDescent="0.25">
      <c r="A13" s="42" t="s">
        <v>61</v>
      </c>
      <c r="B13" s="43" t="s">
        <v>62</v>
      </c>
      <c r="C13" s="43" t="s">
        <v>70</v>
      </c>
      <c r="D13" s="43" t="s">
        <v>64</v>
      </c>
      <c r="E13" s="43" t="s">
        <v>7</v>
      </c>
      <c r="F13" s="79"/>
      <c r="G13" s="80"/>
      <c r="H13" s="80"/>
      <c r="I13" s="44">
        <f>VLOOKUP(A13,$O$5:$R$279,4,0)</f>
        <v>0</v>
      </c>
      <c r="J13" s="79">
        <v>19442</v>
      </c>
      <c r="K13" s="80">
        <v>1052</v>
      </c>
      <c r="L13" s="80">
        <v>1574</v>
      </c>
      <c r="M13" s="44">
        <f>SUM(J13:L13)</f>
        <v>22068</v>
      </c>
      <c r="N13" s="67"/>
      <c r="O13" t="s">
        <v>58</v>
      </c>
      <c r="P13" t="s">
        <v>59</v>
      </c>
      <c r="Q13">
        <v>8</v>
      </c>
      <c r="R13">
        <v>47213</v>
      </c>
      <c r="S13" t="s">
        <v>60</v>
      </c>
      <c r="T13" t="s">
        <v>6</v>
      </c>
    </row>
    <row r="14" spans="1:20" x14ac:dyDescent="0.25">
      <c r="A14" s="42" t="s">
        <v>65</v>
      </c>
      <c r="B14" s="43" t="s">
        <v>66</v>
      </c>
      <c r="C14" s="43" t="s">
        <v>71</v>
      </c>
      <c r="D14" s="43" t="s">
        <v>64</v>
      </c>
      <c r="E14" s="43" t="s">
        <v>7</v>
      </c>
      <c r="F14" s="79"/>
      <c r="G14" s="80"/>
      <c r="H14" s="80"/>
      <c r="I14" s="44">
        <f>VLOOKUP(A14,$O$5:$R$279,4,0)</f>
        <v>0</v>
      </c>
      <c r="J14" s="79">
        <v>27422</v>
      </c>
      <c r="K14" s="80">
        <v>2136</v>
      </c>
      <c r="L14" s="80">
        <v>4568</v>
      </c>
      <c r="M14" s="44">
        <f>SUM(J14:L14)</f>
        <v>34126</v>
      </c>
      <c r="N14" s="67"/>
      <c r="O14" t="s">
        <v>72</v>
      </c>
      <c r="P14" t="s">
        <v>73</v>
      </c>
      <c r="Q14">
        <v>9</v>
      </c>
      <c r="R14">
        <v>6310</v>
      </c>
      <c r="S14">
        <v>741</v>
      </c>
      <c r="T14" t="s">
        <v>672</v>
      </c>
    </row>
    <row r="15" spans="1:20" ht="15.75" thickBot="1" x14ac:dyDescent="0.3">
      <c r="A15" s="57" t="s">
        <v>68</v>
      </c>
      <c r="B15" s="58" t="s">
        <v>69</v>
      </c>
      <c r="C15" s="58" t="s">
        <v>74</v>
      </c>
      <c r="D15" s="58" t="s">
        <v>64</v>
      </c>
      <c r="E15" s="58" t="s">
        <v>7</v>
      </c>
      <c r="F15" s="81"/>
      <c r="G15" s="59"/>
      <c r="H15" s="59"/>
      <c r="I15" s="60">
        <f>VLOOKUP(A15,$O$5:$R$279,4,0)</f>
        <v>0</v>
      </c>
      <c r="J15" s="81">
        <v>28554</v>
      </c>
      <c r="K15" s="59">
        <v>1963</v>
      </c>
      <c r="L15" s="59">
        <v>3404</v>
      </c>
      <c r="M15" s="60">
        <f>SUM(J15:L15)</f>
        <v>33921</v>
      </c>
      <c r="N15" s="67"/>
      <c r="O15" t="s">
        <v>75</v>
      </c>
      <c r="P15" t="s">
        <v>76</v>
      </c>
      <c r="Q15">
        <v>10</v>
      </c>
      <c r="R15">
        <v>3501</v>
      </c>
      <c r="S15">
        <v>742</v>
      </c>
      <c r="T15" t="s">
        <v>672</v>
      </c>
    </row>
    <row r="16" spans="1:20" x14ac:dyDescent="0.25">
      <c r="A16" s="36" t="s">
        <v>77</v>
      </c>
      <c r="B16" s="11" t="s">
        <v>78</v>
      </c>
      <c r="C16" s="11" t="s">
        <v>79</v>
      </c>
      <c r="D16" s="11" t="s">
        <v>80</v>
      </c>
      <c r="E16" s="11" t="s">
        <v>8</v>
      </c>
      <c r="F16" s="76"/>
      <c r="G16" s="50"/>
      <c r="H16" s="50"/>
      <c r="I16" s="51">
        <f>VLOOKUP(A16,$O$5:$R$279,4,0)</f>
        <v>5044</v>
      </c>
      <c r="J16" s="76">
        <v>9991</v>
      </c>
      <c r="K16" s="50">
        <v>1116</v>
      </c>
      <c r="L16" s="50">
        <v>698</v>
      </c>
      <c r="M16" s="51">
        <f>SUM(J16:L16)</f>
        <v>11805</v>
      </c>
      <c r="N16" s="67"/>
      <c r="O16" t="s">
        <v>81</v>
      </c>
      <c r="P16" t="s">
        <v>82</v>
      </c>
      <c r="Q16">
        <v>11</v>
      </c>
      <c r="R16">
        <v>9569</v>
      </c>
      <c r="S16">
        <v>743</v>
      </c>
      <c r="T16" t="s">
        <v>672</v>
      </c>
    </row>
    <row r="17" spans="1:20" x14ac:dyDescent="0.25">
      <c r="A17" s="37" t="s">
        <v>83</v>
      </c>
      <c r="B17" t="s">
        <v>84</v>
      </c>
      <c r="C17" t="s">
        <v>85</v>
      </c>
      <c r="D17" t="s">
        <v>80</v>
      </c>
      <c r="E17" t="s">
        <v>8</v>
      </c>
      <c r="F17" s="70"/>
      <c r="G17" s="3"/>
      <c r="H17" s="3"/>
      <c r="I17" s="38">
        <f>VLOOKUP(A17,$O$5:$R$279,4,0)</f>
        <v>7319</v>
      </c>
      <c r="J17" s="70">
        <v>7408</v>
      </c>
      <c r="K17" s="3">
        <v>2556</v>
      </c>
      <c r="L17" s="3">
        <v>12129</v>
      </c>
      <c r="M17" s="38">
        <f>SUM(J17:L17)</f>
        <v>22093</v>
      </c>
      <c r="N17" s="67"/>
      <c r="O17" t="s">
        <v>86</v>
      </c>
      <c r="P17" t="s">
        <v>87</v>
      </c>
      <c r="Q17">
        <v>12</v>
      </c>
      <c r="R17">
        <v>4618</v>
      </c>
      <c r="S17">
        <v>751</v>
      </c>
      <c r="T17" t="s">
        <v>672</v>
      </c>
    </row>
    <row r="18" spans="1:20" x14ac:dyDescent="0.25">
      <c r="A18" s="37" t="s">
        <v>88</v>
      </c>
      <c r="B18" t="s">
        <v>89</v>
      </c>
      <c r="C18" t="s">
        <v>90</v>
      </c>
      <c r="D18" t="s">
        <v>80</v>
      </c>
      <c r="E18" t="s">
        <v>8</v>
      </c>
      <c r="F18" s="70"/>
      <c r="G18" s="3"/>
      <c r="H18" s="3"/>
      <c r="I18" s="38">
        <f>VLOOKUP(A18,$O$5:$R$279,4,0)</f>
        <v>17120</v>
      </c>
      <c r="J18" s="70">
        <v>17235</v>
      </c>
      <c r="K18" s="3">
        <v>5034</v>
      </c>
      <c r="L18" s="3">
        <v>11126</v>
      </c>
      <c r="M18" s="38">
        <f>SUM(J18:L18)</f>
        <v>33395</v>
      </c>
      <c r="N18" s="67"/>
      <c r="O18" t="s">
        <v>91</v>
      </c>
      <c r="P18" t="s">
        <v>92</v>
      </c>
      <c r="Q18">
        <v>13</v>
      </c>
      <c r="R18">
        <v>8333</v>
      </c>
      <c r="S18">
        <v>749</v>
      </c>
      <c r="T18" t="s">
        <v>672</v>
      </c>
    </row>
    <row r="19" spans="1:20" x14ac:dyDescent="0.25">
      <c r="A19" s="37" t="s">
        <v>93</v>
      </c>
      <c r="B19" t="s">
        <v>94</v>
      </c>
      <c r="C19" t="s">
        <v>95</v>
      </c>
      <c r="D19" t="s">
        <v>80</v>
      </c>
      <c r="E19" t="s">
        <v>8</v>
      </c>
      <c r="F19" s="70"/>
      <c r="G19" s="3"/>
      <c r="H19" s="3"/>
      <c r="I19" s="38">
        <f>VLOOKUP(A19,$O$5:$R$279,4,0)</f>
        <v>11914</v>
      </c>
      <c r="J19" s="70">
        <v>3851</v>
      </c>
      <c r="K19" s="3">
        <v>1058</v>
      </c>
      <c r="L19" s="3">
        <v>7679</v>
      </c>
      <c r="M19" s="38">
        <f>SUM(J19:L19)</f>
        <v>12588</v>
      </c>
      <c r="N19" s="67"/>
      <c r="O19" t="s">
        <v>96</v>
      </c>
      <c r="P19" t="s">
        <v>97</v>
      </c>
      <c r="Q19">
        <v>14</v>
      </c>
      <c r="R19">
        <v>905</v>
      </c>
      <c r="S19">
        <v>746</v>
      </c>
      <c r="T19" t="s">
        <v>672</v>
      </c>
    </row>
    <row r="20" spans="1:20" x14ac:dyDescent="0.25">
      <c r="A20" s="37" t="s">
        <v>98</v>
      </c>
      <c r="B20" t="s">
        <v>99</v>
      </c>
      <c r="C20" t="s">
        <v>100</v>
      </c>
      <c r="D20" t="s">
        <v>80</v>
      </c>
      <c r="E20" t="s">
        <v>8</v>
      </c>
      <c r="F20" s="70"/>
      <c r="G20" s="3"/>
      <c r="H20" s="3"/>
      <c r="I20" s="38">
        <f>VLOOKUP(A20,$O$5:$R$279,4,0)</f>
        <v>4286</v>
      </c>
      <c r="J20" s="70">
        <v>1065</v>
      </c>
      <c r="K20" s="3">
        <v>259</v>
      </c>
      <c r="L20" s="3">
        <v>5014</v>
      </c>
      <c r="M20" s="38">
        <f>SUM(J20:L20)</f>
        <v>6338</v>
      </c>
      <c r="N20" s="67"/>
      <c r="O20" t="s">
        <v>77</v>
      </c>
      <c r="P20" t="s">
        <v>78</v>
      </c>
      <c r="Q20">
        <v>15</v>
      </c>
      <c r="R20">
        <v>5044</v>
      </c>
      <c r="S20" t="s">
        <v>79</v>
      </c>
      <c r="T20" t="s">
        <v>8</v>
      </c>
    </row>
    <row r="21" spans="1:20" x14ac:dyDescent="0.25">
      <c r="A21" s="37" t="s">
        <v>101</v>
      </c>
      <c r="B21" t="s">
        <v>102</v>
      </c>
      <c r="C21" t="s">
        <v>103</v>
      </c>
      <c r="D21" t="s">
        <v>80</v>
      </c>
      <c r="E21" t="s">
        <v>8</v>
      </c>
      <c r="F21" s="70"/>
      <c r="G21" s="3"/>
      <c r="H21" s="3"/>
      <c r="I21" s="38">
        <f>VLOOKUP(A21,$O$5:$R$279,4,0)</f>
        <v>4418</v>
      </c>
      <c r="J21" s="70">
        <v>3767</v>
      </c>
      <c r="K21" s="3">
        <v>714</v>
      </c>
      <c r="L21" s="3">
        <v>7563</v>
      </c>
      <c r="M21" s="38">
        <f>SUM(J21:L21)</f>
        <v>12044</v>
      </c>
      <c r="N21" s="67"/>
      <c r="O21" t="s">
        <v>83</v>
      </c>
      <c r="P21" t="s">
        <v>84</v>
      </c>
      <c r="Q21">
        <v>16</v>
      </c>
      <c r="R21">
        <v>7319</v>
      </c>
      <c r="S21" t="s">
        <v>85</v>
      </c>
      <c r="T21" t="s">
        <v>8</v>
      </c>
    </row>
    <row r="22" spans="1:20" x14ac:dyDescent="0.25">
      <c r="A22" s="37" t="s">
        <v>104</v>
      </c>
      <c r="B22" t="s">
        <v>105</v>
      </c>
      <c r="C22" t="s">
        <v>106</v>
      </c>
      <c r="D22" t="s">
        <v>80</v>
      </c>
      <c r="E22" t="s">
        <v>8</v>
      </c>
      <c r="F22" s="70"/>
      <c r="G22" s="3"/>
      <c r="H22" s="3"/>
      <c r="I22" s="38">
        <f>VLOOKUP(A22,$O$5:$R$279,4,0)</f>
        <v>6084</v>
      </c>
      <c r="J22" s="70">
        <v>626</v>
      </c>
      <c r="K22" s="3">
        <v>448</v>
      </c>
      <c r="L22" s="3">
        <v>7119</v>
      </c>
      <c r="M22" s="38">
        <f>SUM(J22:L22)</f>
        <v>8193</v>
      </c>
      <c r="N22" s="67"/>
      <c r="O22" t="s">
        <v>88</v>
      </c>
      <c r="P22" t="s">
        <v>89</v>
      </c>
      <c r="Q22">
        <v>17</v>
      </c>
      <c r="R22">
        <v>17120</v>
      </c>
      <c r="S22" t="s">
        <v>90</v>
      </c>
      <c r="T22" t="s">
        <v>8</v>
      </c>
    </row>
    <row r="23" spans="1:20" x14ac:dyDescent="0.25">
      <c r="A23" s="37" t="s">
        <v>107</v>
      </c>
      <c r="B23" t="s">
        <v>108</v>
      </c>
      <c r="C23" t="s">
        <v>109</v>
      </c>
      <c r="D23" t="s">
        <v>80</v>
      </c>
      <c r="E23" t="s">
        <v>8</v>
      </c>
      <c r="F23" s="70"/>
      <c r="G23" s="3"/>
      <c r="H23" s="3"/>
      <c r="I23" s="38">
        <f>VLOOKUP(A23,$O$5:$R$279,4,0)</f>
        <v>7215</v>
      </c>
      <c r="J23" s="70">
        <v>2419</v>
      </c>
      <c r="K23" s="3">
        <v>647</v>
      </c>
      <c r="L23" s="3">
        <v>7250</v>
      </c>
      <c r="M23" s="38">
        <f>SUM(J23:L23)</f>
        <v>10316</v>
      </c>
      <c r="N23" s="67"/>
      <c r="O23" t="s">
        <v>93</v>
      </c>
      <c r="P23" t="s">
        <v>94</v>
      </c>
      <c r="Q23">
        <v>18</v>
      </c>
      <c r="R23">
        <v>11914</v>
      </c>
      <c r="S23" t="s">
        <v>95</v>
      </c>
      <c r="T23" t="s">
        <v>8</v>
      </c>
    </row>
    <row r="24" spans="1:20" x14ac:dyDescent="0.25">
      <c r="A24" s="37" t="s">
        <v>110</v>
      </c>
      <c r="B24" t="s">
        <v>111</v>
      </c>
      <c r="C24" t="s">
        <v>112</v>
      </c>
      <c r="D24" t="s">
        <v>80</v>
      </c>
      <c r="E24" t="s">
        <v>8</v>
      </c>
      <c r="F24" s="70"/>
      <c r="G24" s="3"/>
      <c r="H24" s="3"/>
      <c r="I24" s="38">
        <f>VLOOKUP(A24,$O$5:$R$279,4,0)</f>
        <v>7641</v>
      </c>
      <c r="J24" s="70">
        <v>4021</v>
      </c>
      <c r="K24" s="3">
        <v>833</v>
      </c>
      <c r="L24" s="3">
        <v>2772</v>
      </c>
      <c r="M24" s="38">
        <f>SUM(J24:L24)</f>
        <v>7626</v>
      </c>
      <c r="N24" s="67"/>
      <c r="O24" t="s">
        <v>98</v>
      </c>
      <c r="P24" t="s">
        <v>99</v>
      </c>
      <c r="Q24">
        <v>19</v>
      </c>
      <c r="R24">
        <v>4286</v>
      </c>
      <c r="S24" t="s">
        <v>100</v>
      </c>
      <c r="T24" t="s">
        <v>8</v>
      </c>
    </row>
    <row r="25" spans="1:20" x14ac:dyDescent="0.25">
      <c r="A25" s="37" t="s">
        <v>113</v>
      </c>
      <c r="B25" t="s">
        <v>114</v>
      </c>
      <c r="C25" t="s">
        <v>115</v>
      </c>
      <c r="D25" t="s">
        <v>80</v>
      </c>
      <c r="E25" t="s">
        <v>8</v>
      </c>
      <c r="F25" s="70"/>
      <c r="G25" s="3"/>
      <c r="H25" s="3"/>
      <c r="I25" s="38">
        <f>VLOOKUP(A25,$O$5:$R$279,4,0)</f>
        <v>6948</v>
      </c>
      <c r="J25" s="70">
        <v>6594</v>
      </c>
      <c r="K25" s="3">
        <v>612</v>
      </c>
      <c r="L25" s="3">
        <v>1677</v>
      </c>
      <c r="M25" s="38">
        <f>SUM(J25:L25)</f>
        <v>8883</v>
      </c>
      <c r="N25" s="67"/>
      <c r="O25" t="s">
        <v>101</v>
      </c>
      <c r="P25" t="s">
        <v>102</v>
      </c>
      <c r="Q25">
        <v>20</v>
      </c>
      <c r="R25">
        <v>4418</v>
      </c>
      <c r="S25" t="s">
        <v>103</v>
      </c>
      <c r="T25" t="s">
        <v>8</v>
      </c>
    </row>
    <row r="26" spans="1:20" x14ac:dyDescent="0.25">
      <c r="A26" s="37" t="s">
        <v>116</v>
      </c>
      <c r="B26" t="s">
        <v>117</v>
      </c>
      <c r="C26" t="s">
        <v>118</v>
      </c>
      <c r="D26" t="s">
        <v>80</v>
      </c>
      <c r="E26" t="s">
        <v>8</v>
      </c>
      <c r="F26" s="70"/>
      <c r="G26" s="3"/>
      <c r="H26" s="3"/>
      <c r="I26" s="38">
        <f>VLOOKUP(A26,$O$5:$R$279,4,0)</f>
        <v>11907</v>
      </c>
      <c r="J26" s="70">
        <v>10467</v>
      </c>
      <c r="K26" s="3">
        <v>1452</v>
      </c>
      <c r="L26" s="3">
        <v>8331</v>
      </c>
      <c r="M26" s="38">
        <f>SUM(J26:L26)</f>
        <v>20250</v>
      </c>
      <c r="N26" s="67"/>
      <c r="O26" t="s">
        <v>104</v>
      </c>
      <c r="P26" t="s">
        <v>105</v>
      </c>
      <c r="Q26">
        <v>21</v>
      </c>
      <c r="R26">
        <v>6084</v>
      </c>
      <c r="S26" t="s">
        <v>106</v>
      </c>
      <c r="T26" t="s">
        <v>8</v>
      </c>
    </row>
    <row r="27" spans="1:20" x14ac:dyDescent="0.25">
      <c r="A27" s="37" t="s">
        <v>119</v>
      </c>
      <c r="B27" t="s">
        <v>120</v>
      </c>
      <c r="C27" t="s">
        <v>121</v>
      </c>
      <c r="D27" t="s">
        <v>80</v>
      </c>
      <c r="E27" t="s">
        <v>8</v>
      </c>
      <c r="F27" s="70"/>
      <c r="G27" s="3"/>
      <c r="H27" s="3"/>
      <c r="I27" s="38">
        <f>VLOOKUP(A27,$O$5:$R$279,4,0)</f>
        <v>21859</v>
      </c>
      <c r="J27" s="70">
        <v>5675</v>
      </c>
      <c r="K27" s="3">
        <v>3891</v>
      </c>
      <c r="L27" s="3">
        <v>16006</v>
      </c>
      <c r="M27" s="38">
        <f>SUM(J27:L27)</f>
        <v>25572</v>
      </c>
      <c r="N27" s="67"/>
      <c r="O27" t="s">
        <v>107</v>
      </c>
      <c r="P27" t="s">
        <v>108</v>
      </c>
      <c r="Q27">
        <v>22</v>
      </c>
      <c r="R27">
        <v>7215</v>
      </c>
      <c r="S27" t="s">
        <v>109</v>
      </c>
      <c r="T27" t="s">
        <v>8</v>
      </c>
    </row>
    <row r="28" spans="1:20" x14ac:dyDescent="0.25">
      <c r="A28" s="37" t="s">
        <v>122</v>
      </c>
      <c r="B28" t="s">
        <v>123</v>
      </c>
      <c r="C28" t="s">
        <v>124</v>
      </c>
      <c r="D28" t="s">
        <v>80</v>
      </c>
      <c r="E28" t="s">
        <v>8</v>
      </c>
      <c r="F28" s="70"/>
      <c r="G28" s="3"/>
      <c r="H28" s="3"/>
      <c r="I28" s="38">
        <f>VLOOKUP(A28,$O$5:$R$279,4,0)</f>
        <v>0</v>
      </c>
      <c r="J28" s="70" t="s">
        <v>690</v>
      </c>
      <c r="K28" s="3" t="s">
        <v>690</v>
      </c>
      <c r="L28" s="3" t="s">
        <v>690</v>
      </c>
      <c r="M28" s="38">
        <f>SUM(J28:L28)</f>
        <v>0</v>
      </c>
      <c r="N28" s="67"/>
      <c r="O28" t="s">
        <v>110</v>
      </c>
      <c r="P28" t="s">
        <v>111</v>
      </c>
      <c r="Q28">
        <v>23</v>
      </c>
      <c r="R28">
        <v>7641</v>
      </c>
      <c r="S28" t="s">
        <v>112</v>
      </c>
      <c r="T28" t="s">
        <v>8</v>
      </c>
    </row>
    <row r="29" spans="1:20" ht="15.75" thickBot="1" x14ac:dyDescent="0.3">
      <c r="A29" s="41" t="s">
        <v>125</v>
      </c>
      <c r="B29" s="13" t="s">
        <v>126</v>
      </c>
      <c r="C29" s="13" t="s">
        <v>127</v>
      </c>
      <c r="D29" s="13" t="s">
        <v>80</v>
      </c>
      <c r="E29" s="13" t="s">
        <v>8</v>
      </c>
      <c r="F29" s="77"/>
      <c r="G29" s="32"/>
      <c r="H29" s="32"/>
      <c r="I29" s="52">
        <f>VLOOKUP(A29,$O$5:$R$279,4,0)</f>
        <v>0</v>
      </c>
      <c r="J29" s="77" t="s">
        <v>690</v>
      </c>
      <c r="K29" s="32" t="s">
        <v>690</v>
      </c>
      <c r="L29" s="32" t="s">
        <v>690</v>
      </c>
      <c r="M29" s="52">
        <f>SUM(J29:L29)</f>
        <v>0</v>
      </c>
      <c r="N29" s="67"/>
      <c r="O29" t="s">
        <v>113</v>
      </c>
      <c r="P29" t="s">
        <v>114</v>
      </c>
      <c r="Q29">
        <v>24</v>
      </c>
      <c r="R29">
        <v>6948</v>
      </c>
      <c r="S29" t="s">
        <v>115</v>
      </c>
      <c r="T29" t="s">
        <v>8</v>
      </c>
    </row>
    <row r="30" spans="1:20" x14ac:dyDescent="0.25">
      <c r="A30" s="53" t="s">
        <v>128</v>
      </c>
      <c r="B30" s="54" t="s">
        <v>129</v>
      </c>
      <c r="C30" s="54" t="s">
        <v>130</v>
      </c>
      <c r="D30" s="54" t="s">
        <v>131</v>
      </c>
      <c r="E30" s="54" t="s">
        <v>9</v>
      </c>
      <c r="F30" s="78"/>
      <c r="G30" s="55"/>
      <c r="H30" s="55"/>
      <c r="I30" s="56">
        <f>VLOOKUP(A30,$O$5:$R$279,4,0)</f>
        <v>1089</v>
      </c>
      <c r="J30" s="78">
        <v>1233</v>
      </c>
      <c r="K30" s="55">
        <v>93</v>
      </c>
      <c r="L30" s="55">
        <v>4</v>
      </c>
      <c r="M30" s="56">
        <f>SUM(J30:L30)</f>
        <v>1330</v>
      </c>
      <c r="N30" s="39"/>
      <c r="O30" t="s">
        <v>116</v>
      </c>
      <c r="P30" t="s">
        <v>117</v>
      </c>
      <c r="Q30">
        <v>25</v>
      </c>
      <c r="R30">
        <v>11907</v>
      </c>
      <c r="S30" t="s">
        <v>118</v>
      </c>
      <c r="T30" t="s">
        <v>8</v>
      </c>
    </row>
    <row r="31" spans="1:20" x14ac:dyDescent="0.25">
      <c r="A31" s="42" t="s">
        <v>132</v>
      </c>
      <c r="B31" s="43" t="s">
        <v>133</v>
      </c>
      <c r="C31" s="43" t="s">
        <v>134</v>
      </c>
      <c r="D31" s="43" t="s">
        <v>131</v>
      </c>
      <c r="E31" s="43" t="s">
        <v>9</v>
      </c>
      <c r="F31" s="79"/>
      <c r="G31" s="80"/>
      <c r="H31" s="80"/>
      <c r="I31" s="44">
        <f>VLOOKUP(A31,$O$5:$R$279,4,0)</f>
        <v>3625</v>
      </c>
      <c r="J31" s="79">
        <v>41</v>
      </c>
      <c r="K31" s="80">
        <v>71</v>
      </c>
      <c r="L31" s="80">
        <v>1904</v>
      </c>
      <c r="M31" s="44">
        <f>SUM(J31:L31)</f>
        <v>2016</v>
      </c>
      <c r="N31" s="67"/>
      <c r="O31" t="s">
        <v>119</v>
      </c>
      <c r="P31" t="s">
        <v>120</v>
      </c>
      <c r="Q31">
        <v>26</v>
      </c>
      <c r="R31">
        <v>21859</v>
      </c>
      <c r="S31" t="s">
        <v>121</v>
      </c>
      <c r="T31" t="s">
        <v>8</v>
      </c>
    </row>
    <row r="32" spans="1:20" x14ac:dyDescent="0.25">
      <c r="A32" s="42" t="s">
        <v>135</v>
      </c>
      <c r="B32" s="43" t="s">
        <v>136</v>
      </c>
      <c r="C32" s="43" t="s">
        <v>137</v>
      </c>
      <c r="D32" s="43" t="s">
        <v>131</v>
      </c>
      <c r="E32" s="43" t="s">
        <v>9</v>
      </c>
      <c r="F32" s="79"/>
      <c r="G32" s="80"/>
      <c r="H32" s="80"/>
      <c r="I32" s="44">
        <f>VLOOKUP(A32,$O$5:$R$279,4,0)</f>
        <v>283</v>
      </c>
      <c r="J32" s="79">
        <v>0</v>
      </c>
      <c r="K32" s="80">
        <v>0</v>
      </c>
      <c r="L32" s="80">
        <v>0</v>
      </c>
      <c r="M32" s="44">
        <f>SUM(J32:L32)</f>
        <v>0</v>
      </c>
      <c r="N32" s="67"/>
      <c r="O32" t="s">
        <v>122</v>
      </c>
      <c r="P32" t="s">
        <v>123</v>
      </c>
      <c r="Q32">
        <v>27</v>
      </c>
      <c r="R32">
        <v>0</v>
      </c>
      <c r="S32" t="s">
        <v>124</v>
      </c>
      <c r="T32" t="s">
        <v>8</v>
      </c>
    </row>
    <row r="33" spans="1:20" x14ac:dyDescent="0.25">
      <c r="A33" s="42" t="s">
        <v>138</v>
      </c>
      <c r="B33" s="43" t="s">
        <v>139</v>
      </c>
      <c r="C33" s="43" t="s">
        <v>140</v>
      </c>
      <c r="D33" s="43" t="s">
        <v>131</v>
      </c>
      <c r="E33" s="43" t="s">
        <v>9</v>
      </c>
      <c r="F33" s="79"/>
      <c r="G33" s="80"/>
      <c r="H33" s="80"/>
      <c r="I33" s="44">
        <f>VLOOKUP(A33,$O$5:$R$279,4,0)</f>
        <v>189</v>
      </c>
      <c r="J33" s="79">
        <v>7</v>
      </c>
      <c r="K33" s="80">
        <v>22</v>
      </c>
      <c r="L33" s="80">
        <v>0</v>
      </c>
      <c r="M33" s="44">
        <f>SUM(J33:L33)</f>
        <v>29</v>
      </c>
      <c r="N33" s="67"/>
      <c r="O33" t="s">
        <v>125</v>
      </c>
      <c r="P33" t="s">
        <v>126</v>
      </c>
      <c r="Q33">
        <v>28</v>
      </c>
      <c r="R33">
        <v>0</v>
      </c>
      <c r="S33" t="s">
        <v>127</v>
      </c>
      <c r="T33" t="s">
        <v>8</v>
      </c>
    </row>
    <row r="34" spans="1:20" ht="15.75" thickBot="1" x14ac:dyDescent="0.3">
      <c r="A34" s="57" t="s">
        <v>141</v>
      </c>
      <c r="B34" s="58" t="s">
        <v>142</v>
      </c>
      <c r="C34" s="58" t="s">
        <v>143</v>
      </c>
      <c r="D34" s="58" t="s">
        <v>131</v>
      </c>
      <c r="E34" s="58" t="s">
        <v>9</v>
      </c>
      <c r="F34" s="81"/>
      <c r="G34" s="59"/>
      <c r="H34" s="59"/>
      <c r="I34" s="60">
        <f>VLOOKUP(A34,$O$5:$R$279,4,0)</f>
        <v>224</v>
      </c>
      <c r="J34" s="81">
        <v>170</v>
      </c>
      <c r="K34" s="59">
        <v>14</v>
      </c>
      <c r="L34" s="59">
        <v>10</v>
      </c>
      <c r="M34" s="60">
        <f>SUM(J34:L34)</f>
        <v>194</v>
      </c>
      <c r="N34" s="67"/>
      <c r="O34" t="s">
        <v>128</v>
      </c>
      <c r="P34" t="s">
        <v>129</v>
      </c>
      <c r="Q34">
        <v>29</v>
      </c>
      <c r="R34">
        <v>1089</v>
      </c>
      <c r="S34" t="s">
        <v>130</v>
      </c>
      <c r="T34" t="s">
        <v>9</v>
      </c>
    </row>
    <row r="35" spans="1:20" x14ac:dyDescent="0.25">
      <c r="A35" s="36" t="s">
        <v>72</v>
      </c>
      <c r="B35" s="11" t="s">
        <v>73</v>
      </c>
      <c r="C35" s="11">
        <v>741</v>
      </c>
      <c r="D35" s="11" t="s">
        <v>144</v>
      </c>
      <c r="E35" s="11" t="s">
        <v>10</v>
      </c>
      <c r="F35" s="76"/>
      <c r="G35" s="50"/>
      <c r="H35" s="50"/>
      <c r="I35" s="51">
        <f>VLOOKUP(A35,$O$5:$R$279,4,0)</f>
        <v>6310</v>
      </c>
      <c r="J35" s="76">
        <v>11592</v>
      </c>
      <c r="K35" s="50">
        <v>523</v>
      </c>
      <c r="L35" s="50">
        <v>896</v>
      </c>
      <c r="M35" s="51">
        <f>SUM(J35:L35)</f>
        <v>13011</v>
      </c>
      <c r="N35" s="67"/>
      <c r="O35" t="s">
        <v>132</v>
      </c>
      <c r="P35" t="s">
        <v>133</v>
      </c>
      <c r="Q35">
        <v>30</v>
      </c>
      <c r="R35">
        <v>3625</v>
      </c>
      <c r="S35" t="s">
        <v>134</v>
      </c>
      <c r="T35" t="s">
        <v>9</v>
      </c>
    </row>
    <row r="36" spans="1:20" x14ac:dyDescent="0.25">
      <c r="A36" s="37" t="s">
        <v>75</v>
      </c>
      <c r="B36" t="s">
        <v>76</v>
      </c>
      <c r="C36">
        <v>742</v>
      </c>
      <c r="D36" t="s">
        <v>144</v>
      </c>
      <c r="E36" t="s">
        <v>10</v>
      </c>
      <c r="F36" s="70"/>
      <c r="G36" s="3"/>
      <c r="H36" s="3"/>
      <c r="I36" s="38">
        <f>VLOOKUP(A36,$O$5:$R$279,4,0)</f>
        <v>3501</v>
      </c>
      <c r="J36" s="70">
        <v>12128</v>
      </c>
      <c r="K36" s="3">
        <v>249</v>
      </c>
      <c r="L36" s="3">
        <v>909</v>
      </c>
      <c r="M36" s="38">
        <f>SUM(J36:L36)</f>
        <v>13286</v>
      </c>
      <c r="N36" s="67"/>
      <c r="O36" t="s">
        <v>135</v>
      </c>
      <c r="P36" t="s">
        <v>136</v>
      </c>
      <c r="Q36">
        <v>31</v>
      </c>
      <c r="R36">
        <v>283</v>
      </c>
      <c r="S36" t="s">
        <v>137</v>
      </c>
      <c r="T36" t="s">
        <v>9</v>
      </c>
    </row>
    <row r="37" spans="1:20" x14ac:dyDescent="0.25">
      <c r="A37" s="37" t="s">
        <v>81</v>
      </c>
      <c r="B37" t="s">
        <v>82</v>
      </c>
      <c r="C37">
        <v>743</v>
      </c>
      <c r="D37" t="s">
        <v>144</v>
      </c>
      <c r="E37" t="s">
        <v>10</v>
      </c>
      <c r="F37" s="70"/>
      <c r="G37" s="3"/>
      <c r="H37" s="3"/>
      <c r="I37" s="38">
        <f>VLOOKUP(A37,$O$5:$R$279,4,0)</f>
        <v>9569</v>
      </c>
      <c r="J37" s="70">
        <v>9091</v>
      </c>
      <c r="K37" s="3">
        <v>185</v>
      </c>
      <c r="L37" s="3">
        <v>913</v>
      </c>
      <c r="M37" s="38">
        <f>SUM(J37:L37)</f>
        <v>10189</v>
      </c>
      <c r="N37" s="67"/>
      <c r="O37" t="s">
        <v>138</v>
      </c>
      <c r="P37" t="s">
        <v>139</v>
      </c>
      <c r="Q37">
        <v>32</v>
      </c>
      <c r="R37">
        <v>189</v>
      </c>
      <c r="S37" t="s">
        <v>140</v>
      </c>
      <c r="T37" t="s">
        <v>9</v>
      </c>
    </row>
    <row r="38" spans="1:20" x14ac:dyDescent="0.25">
      <c r="A38" s="37" t="s">
        <v>86</v>
      </c>
      <c r="B38" t="s">
        <v>87</v>
      </c>
      <c r="C38">
        <v>751</v>
      </c>
      <c r="D38" t="s">
        <v>144</v>
      </c>
      <c r="E38" t="s">
        <v>10</v>
      </c>
      <c r="F38" s="70"/>
      <c r="G38" s="3"/>
      <c r="H38" s="3"/>
      <c r="I38" s="38">
        <f>VLOOKUP(A38,$O$5:$R$279,4,0)</f>
        <v>4618</v>
      </c>
      <c r="J38" s="70">
        <v>0</v>
      </c>
      <c r="K38" s="3">
        <v>0</v>
      </c>
      <c r="L38" s="3">
        <v>0</v>
      </c>
      <c r="M38" s="38">
        <f>SUM(J38:L38)</f>
        <v>0</v>
      </c>
      <c r="N38" s="67"/>
      <c r="O38" t="s">
        <v>141</v>
      </c>
      <c r="P38" t="s">
        <v>142</v>
      </c>
      <c r="Q38">
        <v>33</v>
      </c>
      <c r="R38">
        <v>224</v>
      </c>
      <c r="S38" t="s">
        <v>143</v>
      </c>
      <c r="T38" t="s">
        <v>9</v>
      </c>
    </row>
    <row r="39" spans="1:20" x14ac:dyDescent="0.25">
      <c r="A39" s="37" t="s">
        <v>91</v>
      </c>
      <c r="B39" t="s">
        <v>92</v>
      </c>
      <c r="C39">
        <v>749</v>
      </c>
      <c r="D39" t="s">
        <v>144</v>
      </c>
      <c r="E39" t="s">
        <v>10</v>
      </c>
      <c r="F39" s="70"/>
      <c r="G39" s="3"/>
      <c r="H39" s="3"/>
      <c r="I39" s="38">
        <f>VLOOKUP(A39,$O$5:$R$279,4,0)</f>
        <v>8333</v>
      </c>
      <c r="J39" s="70">
        <v>12610</v>
      </c>
      <c r="K39" s="3">
        <v>46</v>
      </c>
      <c r="L39" s="3">
        <v>102</v>
      </c>
      <c r="M39" s="38">
        <f>SUM(J39:L39)</f>
        <v>12758</v>
      </c>
      <c r="N39" s="67"/>
      <c r="O39" t="s">
        <v>149</v>
      </c>
      <c r="P39" t="s">
        <v>150</v>
      </c>
      <c r="Q39">
        <v>34</v>
      </c>
      <c r="R39">
        <v>9490</v>
      </c>
      <c r="S39">
        <v>1</v>
      </c>
      <c r="T39" t="s">
        <v>11</v>
      </c>
    </row>
    <row r="40" spans="1:20" ht="15.75" thickBot="1" x14ac:dyDescent="0.3">
      <c r="A40" s="41" t="s">
        <v>96</v>
      </c>
      <c r="B40" s="13" t="s">
        <v>97</v>
      </c>
      <c r="C40" s="13">
        <v>746</v>
      </c>
      <c r="D40" s="13" t="s">
        <v>144</v>
      </c>
      <c r="E40" s="13" t="s">
        <v>10</v>
      </c>
      <c r="F40" s="77"/>
      <c r="G40" s="32"/>
      <c r="H40" s="32"/>
      <c r="I40" s="52">
        <f>VLOOKUP(A40,$O$5:$R$279,4,0)</f>
        <v>905</v>
      </c>
      <c r="J40" s="77">
        <v>0</v>
      </c>
      <c r="K40" s="32">
        <v>0</v>
      </c>
      <c r="L40" s="32">
        <v>0</v>
      </c>
      <c r="M40" s="52">
        <f>SUM(J40:L40)</f>
        <v>0</v>
      </c>
      <c r="N40" s="67"/>
      <c r="O40" t="s">
        <v>153</v>
      </c>
      <c r="P40" t="s">
        <v>154</v>
      </c>
      <c r="Q40">
        <v>35</v>
      </c>
      <c r="R40">
        <v>261</v>
      </c>
      <c r="S40">
        <v>4</v>
      </c>
      <c r="T40" t="s">
        <v>11</v>
      </c>
    </row>
    <row r="41" spans="1:20" x14ac:dyDescent="0.25">
      <c r="A41" s="53" t="s">
        <v>149</v>
      </c>
      <c r="B41" s="54" t="s">
        <v>150</v>
      </c>
      <c r="C41" s="54">
        <v>1</v>
      </c>
      <c r="D41" s="54" t="s">
        <v>12</v>
      </c>
      <c r="E41" s="54" t="s">
        <v>12</v>
      </c>
      <c r="F41" s="78"/>
      <c r="G41" s="55"/>
      <c r="H41" s="55"/>
      <c r="I41" s="56">
        <f>VLOOKUP(A41,$O$5:$R$279,4,0)</f>
        <v>9490</v>
      </c>
      <c r="J41" s="78">
        <v>11833</v>
      </c>
      <c r="K41" s="55">
        <v>47</v>
      </c>
      <c r="L41" s="55">
        <v>107</v>
      </c>
      <c r="M41" s="56">
        <f>SUM(J41:L41)</f>
        <v>11987</v>
      </c>
      <c r="N41" s="67"/>
      <c r="O41" t="s">
        <v>157</v>
      </c>
      <c r="P41" t="s">
        <v>158</v>
      </c>
      <c r="Q41">
        <v>36</v>
      </c>
      <c r="R41">
        <v>2869</v>
      </c>
      <c r="S41">
        <v>7</v>
      </c>
      <c r="T41" t="s">
        <v>11</v>
      </c>
    </row>
    <row r="42" spans="1:20" x14ac:dyDescent="0.25">
      <c r="A42" s="42" t="s">
        <v>151</v>
      </c>
      <c r="B42" s="43" t="s">
        <v>152</v>
      </c>
      <c r="C42" s="43">
        <v>15</v>
      </c>
      <c r="D42" s="43" t="s">
        <v>12</v>
      </c>
      <c r="E42" s="43" t="s">
        <v>12</v>
      </c>
      <c r="F42" s="79"/>
      <c r="G42" s="80"/>
      <c r="H42" s="80"/>
      <c r="I42" s="44">
        <f>VLOOKUP(A42,$O$5:$R$279,4,0)</f>
        <v>5538</v>
      </c>
      <c r="J42" s="79">
        <v>9102</v>
      </c>
      <c r="K42" s="80">
        <v>17</v>
      </c>
      <c r="L42" s="80">
        <v>23</v>
      </c>
      <c r="M42" s="44">
        <f>SUM(J42:L42)</f>
        <v>9142</v>
      </c>
      <c r="N42" s="67"/>
      <c r="O42" t="s">
        <v>161</v>
      </c>
      <c r="P42" t="s">
        <v>162</v>
      </c>
      <c r="Q42">
        <v>37</v>
      </c>
      <c r="R42">
        <v>2874</v>
      </c>
      <c r="S42">
        <v>8</v>
      </c>
      <c r="T42" t="s">
        <v>11</v>
      </c>
    </row>
    <row r="43" spans="1:20" x14ac:dyDescent="0.25">
      <c r="A43" s="42" t="s">
        <v>155</v>
      </c>
      <c r="B43" s="43" t="s">
        <v>156</v>
      </c>
      <c r="C43" s="43">
        <v>22</v>
      </c>
      <c r="D43" s="43" t="s">
        <v>12</v>
      </c>
      <c r="E43" s="43" t="s">
        <v>12</v>
      </c>
      <c r="F43" s="79"/>
      <c r="G43" s="80"/>
      <c r="H43" s="80"/>
      <c r="I43" s="44">
        <f>VLOOKUP(A43,$O$5:$R$279,4,0)</f>
        <v>8045</v>
      </c>
      <c r="J43" s="79">
        <v>9039</v>
      </c>
      <c r="K43" s="80">
        <v>18</v>
      </c>
      <c r="L43" s="80">
        <v>20</v>
      </c>
      <c r="M43" s="44">
        <f>SUM(J43:L43)</f>
        <v>9077</v>
      </c>
      <c r="N43" s="67"/>
      <c r="O43" t="s">
        <v>165</v>
      </c>
      <c r="P43" t="s">
        <v>166</v>
      </c>
      <c r="Q43">
        <v>38</v>
      </c>
      <c r="R43">
        <v>4975</v>
      </c>
      <c r="S43">
        <v>9</v>
      </c>
      <c r="T43" t="s">
        <v>11</v>
      </c>
    </row>
    <row r="44" spans="1:20" x14ac:dyDescent="0.25">
      <c r="A44" s="42" t="s">
        <v>159</v>
      </c>
      <c r="B44" s="43" t="s">
        <v>160</v>
      </c>
      <c r="C44" s="43">
        <v>23</v>
      </c>
      <c r="D44" s="43" t="s">
        <v>12</v>
      </c>
      <c r="E44" s="43" t="s">
        <v>12</v>
      </c>
      <c r="F44" s="79"/>
      <c r="G44" s="80"/>
      <c r="H44" s="80"/>
      <c r="I44" s="44">
        <f>VLOOKUP(A44,$O$5:$R$279,4,0)</f>
        <v>11677</v>
      </c>
      <c r="J44" s="79">
        <v>22122</v>
      </c>
      <c r="K44" s="80">
        <v>122</v>
      </c>
      <c r="L44" s="80">
        <v>413</v>
      </c>
      <c r="M44" s="44">
        <f>SUM(J44:L44)</f>
        <v>22657</v>
      </c>
      <c r="N44" s="67"/>
      <c r="O44" t="s">
        <v>169</v>
      </c>
      <c r="P44" t="s">
        <v>166</v>
      </c>
      <c r="Q44">
        <v>39</v>
      </c>
      <c r="R44">
        <v>2431</v>
      </c>
      <c r="S44">
        <v>10</v>
      </c>
      <c r="T44" t="s">
        <v>11</v>
      </c>
    </row>
    <row r="45" spans="1:20" x14ac:dyDescent="0.25">
      <c r="A45" s="42" t="s">
        <v>163</v>
      </c>
      <c r="B45" s="43" t="s">
        <v>164</v>
      </c>
      <c r="C45" s="43">
        <v>28</v>
      </c>
      <c r="D45" s="43" t="s">
        <v>12</v>
      </c>
      <c r="E45" s="43" t="s">
        <v>12</v>
      </c>
      <c r="F45" s="79"/>
      <c r="G45" s="80"/>
      <c r="H45" s="80"/>
      <c r="I45" s="44">
        <f>VLOOKUP(A45,$O$5:$R$279,4,0)</f>
        <v>12216</v>
      </c>
      <c r="J45" s="79">
        <v>42095</v>
      </c>
      <c r="K45" s="80">
        <v>267</v>
      </c>
      <c r="L45" s="80">
        <v>470</v>
      </c>
      <c r="M45" s="44">
        <f>SUM(J45:L45)</f>
        <v>42832</v>
      </c>
      <c r="N45" s="67"/>
      <c r="O45" t="s">
        <v>172</v>
      </c>
      <c r="P45" t="s">
        <v>173</v>
      </c>
      <c r="Q45">
        <v>40</v>
      </c>
      <c r="R45">
        <v>1634</v>
      </c>
      <c r="S45">
        <v>11</v>
      </c>
      <c r="T45" t="s">
        <v>11</v>
      </c>
    </row>
    <row r="46" spans="1:20" x14ac:dyDescent="0.25">
      <c r="A46" s="42" t="s">
        <v>167</v>
      </c>
      <c r="B46" s="43" t="s">
        <v>168</v>
      </c>
      <c r="C46" s="43">
        <v>32</v>
      </c>
      <c r="D46" s="43" t="s">
        <v>12</v>
      </c>
      <c r="E46" s="43" t="s">
        <v>12</v>
      </c>
      <c r="F46" s="79"/>
      <c r="G46" s="80"/>
      <c r="H46" s="80"/>
      <c r="I46" s="44">
        <f>VLOOKUP(A46,$O$5:$R$279,4,0)</f>
        <v>7158</v>
      </c>
      <c r="J46" s="79">
        <v>8875</v>
      </c>
      <c r="K46" s="80">
        <v>65</v>
      </c>
      <c r="L46" s="80">
        <v>336</v>
      </c>
      <c r="M46" s="44">
        <f>SUM(J46:L46)</f>
        <v>9276</v>
      </c>
      <c r="N46" s="67"/>
      <c r="O46" t="s">
        <v>176</v>
      </c>
      <c r="P46" t="s">
        <v>177</v>
      </c>
      <c r="Q46">
        <v>41</v>
      </c>
      <c r="R46">
        <v>1109</v>
      </c>
      <c r="S46">
        <v>14</v>
      </c>
      <c r="T46" t="s">
        <v>11</v>
      </c>
    </row>
    <row r="47" spans="1:20" x14ac:dyDescent="0.25">
      <c r="A47" s="42" t="s">
        <v>170</v>
      </c>
      <c r="B47" s="43" t="s">
        <v>171</v>
      </c>
      <c r="C47" s="43">
        <v>39</v>
      </c>
      <c r="D47" s="43" t="s">
        <v>12</v>
      </c>
      <c r="E47" s="43" t="s">
        <v>12</v>
      </c>
      <c r="F47" s="79"/>
      <c r="G47" s="80"/>
      <c r="H47" s="80"/>
      <c r="I47" s="44">
        <f>VLOOKUP(A47,$O$5:$R$279,4,0)</f>
        <v>9112</v>
      </c>
      <c r="J47" s="79">
        <v>8406</v>
      </c>
      <c r="K47" s="80">
        <v>39</v>
      </c>
      <c r="L47" s="80">
        <v>269</v>
      </c>
      <c r="M47" s="44">
        <f>SUM(J47:L47)</f>
        <v>8714</v>
      </c>
      <c r="N47" s="67"/>
      <c r="O47" t="s">
        <v>151</v>
      </c>
      <c r="P47" t="s">
        <v>152</v>
      </c>
      <c r="Q47">
        <v>42</v>
      </c>
      <c r="R47">
        <v>5538</v>
      </c>
      <c r="S47">
        <v>15</v>
      </c>
      <c r="T47" t="s">
        <v>11</v>
      </c>
    </row>
    <row r="48" spans="1:20" x14ac:dyDescent="0.25">
      <c r="A48" s="42" t="s">
        <v>174</v>
      </c>
      <c r="B48" s="43" t="s">
        <v>175</v>
      </c>
      <c r="C48" s="43">
        <v>57</v>
      </c>
      <c r="D48" s="43" t="s">
        <v>12</v>
      </c>
      <c r="E48" s="43" t="s">
        <v>12</v>
      </c>
      <c r="F48" s="79"/>
      <c r="G48" s="80"/>
      <c r="H48" s="80"/>
      <c r="I48" s="44">
        <f>VLOOKUP(A48,$O$5:$R$279,4,0)</f>
        <v>8729</v>
      </c>
      <c r="J48" s="79">
        <v>11661</v>
      </c>
      <c r="K48" s="80">
        <v>65</v>
      </c>
      <c r="L48" s="80">
        <v>102</v>
      </c>
      <c r="M48" s="44">
        <f>SUM(J48:L48)</f>
        <v>11828</v>
      </c>
      <c r="N48" s="67"/>
      <c r="O48" t="s">
        <v>181</v>
      </c>
      <c r="P48" t="s">
        <v>182</v>
      </c>
      <c r="Q48">
        <v>43</v>
      </c>
      <c r="R48">
        <v>6537</v>
      </c>
      <c r="S48">
        <v>16</v>
      </c>
      <c r="T48" t="s">
        <v>11</v>
      </c>
    </row>
    <row r="49" spans="1:20" x14ac:dyDescent="0.25">
      <c r="A49" s="42" t="s">
        <v>178</v>
      </c>
      <c r="B49" s="43" t="s">
        <v>150</v>
      </c>
      <c r="C49" s="43">
        <v>66</v>
      </c>
      <c r="D49" s="43" t="s">
        <v>12</v>
      </c>
      <c r="E49" s="43" t="s">
        <v>12</v>
      </c>
      <c r="F49" s="79"/>
      <c r="G49" s="80"/>
      <c r="H49" s="80"/>
      <c r="I49" s="44">
        <f>VLOOKUP(A49,$O$5:$R$279,4,0)</f>
        <v>12820</v>
      </c>
      <c r="J49" s="79">
        <v>11143</v>
      </c>
      <c r="K49" s="80">
        <v>38</v>
      </c>
      <c r="L49" s="80">
        <v>48</v>
      </c>
      <c r="M49" s="44">
        <f>SUM(J49:L49)</f>
        <v>11229</v>
      </c>
      <c r="N49" s="67"/>
      <c r="O49" t="s">
        <v>185</v>
      </c>
      <c r="P49" t="s">
        <v>186</v>
      </c>
      <c r="Q49">
        <v>44</v>
      </c>
      <c r="R49">
        <v>2023</v>
      </c>
      <c r="S49">
        <v>17</v>
      </c>
      <c r="T49" t="s">
        <v>11</v>
      </c>
    </row>
    <row r="50" spans="1:20" x14ac:dyDescent="0.25">
      <c r="A50" s="42" t="s">
        <v>179</v>
      </c>
      <c r="B50" s="43" t="s">
        <v>180</v>
      </c>
      <c r="C50" s="43">
        <v>71</v>
      </c>
      <c r="D50" s="43" t="s">
        <v>12</v>
      </c>
      <c r="E50" s="43" t="s">
        <v>12</v>
      </c>
      <c r="F50" s="79"/>
      <c r="G50" s="80"/>
      <c r="H50" s="80"/>
      <c r="I50" s="44">
        <f>VLOOKUP(A50,$O$5:$R$279,4,0)</f>
        <v>2463</v>
      </c>
      <c r="J50" s="79">
        <v>4912</v>
      </c>
      <c r="K50" s="80">
        <v>88</v>
      </c>
      <c r="L50" s="80">
        <v>185</v>
      </c>
      <c r="M50" s="44">
        <f>SUM(J50:L50)</f>
        <v>5185</v>
      </c>
      <c r="N50" s="67"/>
      <c r="O50" t="s">
        <v>189</v>
      </c>
      <c r="P50" t="s">
        <v>190</v>
      </c>
      <c r="Q50">
        <v>45</v>
      </c>
      <c r="R50">
        <v>197</v>
      </c>
      <c r="S50">
        <v>18</v>
      </c>
      <c r="T50" t="s">
        <v>11</v>
      </c>
    </row>
    <row r="51" spans="1:20" x14ac:dyDescent="0.25">
      <c r="A51" s="42" t="s">
        <v>183</v>
      </c>
      <c r="B51" s="43" t="s">
        <v>184</v>
      </c>
      <c r="C51" s="43">
        <v>73</v>
      </c>
      <c r="D51" s="43" t="s">
        <v>12</v>
      </c>
      <c r="E51" s="43" t="s">
        <v>12</v>
      </c>
      <c r="F51" s="79"/>
      <c r="G51" s="80"/>
      <c r="H51" s="80"/>
      <c r="I51" s="44">
        <f>VLOOKUP(A51,$O$5:$R$279,4,0)</f>
        <v>2816</v>
      </c>
      <c r="J51" s="79">
        <v>2380</v>
      </c>
      <c r="K51" s="80">
        <v>19</v>
      </c>
      <c r="L51" s="80">
        <v>26</v>
      </c>
      <c r="M51" s="44">
        <f>SUM(J51:L51)</f>
        <v>2425</v>
      </c>
      <c r="N51" s="67"/>
      <c r="O51" t="s">
        <v>193</v>
      </c>
      <c r="P51" t="s">
        <v>194</v>
      </c>
      <c r="Q51">
        <v>46</v>
      </c>
      <c r="R51">
        <v>2760</v>
      </c>
      <c r="S51">
        <v>19</v>
      </c>
      <c r="T51" t="s">
        <v>11</v>
      </c>
    </row>
    <row r="52" spans="1:20" x14ac:dyDescent="0.25">
      <c r="A52" s="42" t="s">
        <v>187</v>
      </c>
      <c r="B52" s="43" t="s">
        <v>188</v>
      </c>
      <c r="C52" s="43">
        <v>77</v>
      </c>
      <c r="D52" s="43" t="s">
        <v>12</v>
      </c>
      <c r="E52" s="43" t="s">
        <v>12</v>
      </c>
      <c r="F52" s="79"/>
      <c r="G52" s="80"/>
      <c r="H52" s="80"/>
      <c r="I52" s="44">
        <f>VLOOKUP(A52,$O$5:$R$279,4,0)</f>
        <v>4927</v>
      </c>
      <c r="J52" s="79">
        <v>7042</v>
      </c>
      <c r="K52" s="80">
        <v>39</v>
      </c>
      <c r="L52" s="80">
        <v>53</v>
      </c>
      <c r="M52" s="44">
        <f>SUM(J52:L52)</f>
        <v>7134</v>
      </c>
      <c r="N52" s="67"/>
      <c r="O52" t="s">
        <v>197</v>
      </c>
      <c r="P52" t="s">
        <v>198</v>
      </c>
      <c r="Q52">
        <v>47</v>
      </c>
      <c r="R52">
        <v>4494</v>
      </c>
      <c r="S52">
        <v>21</v>
      </c>
      <c r="T52" t="s">
        <v>11</v>
      </c>
    </row>
    <row r="53" spans="1:20" x14ac:dyDescent="0.25">
      <c r="A53" s="42" t="s">
        <v>191</v>
      </c>
      <c r="B53" s="43" t="s">
        <v>192</v>
      </c>
      <c r="C53" s="43">
        <v>111</v>
      </c>
      <c r="D53" s="43" t="s">
        <v>12</v>
      </c>
      <c r="E53" s="43" t="s">
        <v>12</v>
      </c>
      <c r="F53" s="79"/>
      <c r="G53" s="80"/>
      <c r="H53" s="80"/>
      <c r="I53" s="44">
        <f>VLOOKUP(A53,$O$5:$R$279,4,0)</f>
        <v>10101</v>
      </c>
      <c r="J53" s="79">
        <v>7795</v>
      </c>
      <c r="K53" s="80">
        <v>39</v>
      </c>
      <c r="L53" s="80">
        <v>151</v>
      </c>
      <c r="M53" s="44">
        <f>SUM(J53:L53)</f>
        <v>7985</v>
      </c>
      <c r="N53" s="67"/>
      <c r="O53" t="s">
        <v>155</v>
      </c>
      <c r="P53" t="s">
        <v>156</v>
      </c>
      <c r="Q53">
        <v>48</v>
      </c>
      <c r="R53">
        <v>8045</v>
      </c>
      <c r="S53">
        <v>22</v>
      </c>
      <c r="T53" t="s">
        <v>11</v>
      </c>
    </row>
    <row r="54" spans="1:20" x14ac:dyDescent="0.25">
      <c r="A54" s="42" t="s">
        <v>195</v>
      </c>
      <c r="B54" s="43" t="s">
        <v>196</v>
      </c>
      <c r="C54" s="43">
        <v>116</v>
      </c>
      <c r="D54" s="43" t="s">
        <v>12</v>
      </c>
      <c r="E54" s="43" t="s">
        <v>12</v>
      </c>
      <c r="F54" s="79"/>
      <c r="G54" s="80"/>
      <c r="H54" s="80"/>
      <c r="I54" s="44">
        <f>VLOOKUP(A54,$O$5:$R$279,4,0)</f>
        <v>6908</v>
      </c>
      <c r="J54" s="79">
        <v>14279</v>
      </c>
      <c r="K54" s="80">
        <v>72</v>
      </c>
      <c r="L54" s="80">
        <v>366</v>
      </c>
      <c r="M54" s="44">
        <f>SUM(J54:L54)</f>
        <v>14717</v>
      </c>
      <c r="N54" s="67"/>
      <c r="O54" t="s">
        <v>159</v>
      </c>
      <c r="P54" t="s">
        <v>160</v>
      </c>
      <c r="Q54">
        <v>49</v>
      </c>
      <c r="R54">
        <v>11677</v>
      </c>
      <c r="S54">
        <v>23</v>
      </c>
      <c r="T54" t="s">
        <v>11</v>
      </c>
    </row>
    <row r="55" spans="1:20" ht="15.75" thickBot="1" x14ac:dyDescent="0.3">
      <c r="A55" s="57" t="s">
        <v>199</v>
      </c>
      <c r="B55" s="58" t="s">
        <v>200</v>
      </c>
      <c r="C55" s="58">
        <v>117</v>
      </c>
      <c r="D55" s="58" t="s">
        <v>12</v>
      </c>
      <c r="E55" s="58" t="s">
        <v>12</v>
      </c>
      <c r="F55" s="81"/>
      <c r="G55" s="59"/>
      <c r="H55" s="59"/>
      <c r="I55" s="60">
        <f>VLOOKUP(A55,$O$5:$R$279,4,0)</f>
        <v>6101</v>
      </c>
      <c r="J55" s="81">
        <v>0</v>
      </c>
      <c r="K55" s="59">
        <v>0</v>
      </c>
      <c r="L55" s="59">
        <v>0</v>
      </c>
      <c r="M55" s="60">
        <f>SUM(J55:L55)</f>
        <v>0</v>
      </c>
      <c r="N55" s="67"/>
      <c r="O55" t="s">
        <v>203</v>
      </c>
      <c r="P55" t="s">
        <v>204</v>
      </c>
      <c r="Q55">
        <v>50</v>
      </c>
      <c r="R55">
        <v>2211</v>
      </c>
      <c r="S55">
        <v>24</v>
      </c>
      <c r="T55" t="s">
        <v>11</v>
      </c>
    </row>
    <row r="56" spans="1:20" x14ac:dyDescent="0.25">
      <c r="A56" s="37" t="s">
        <v>215</v>
      </c>
      <c r="B56" t="s">
        <v>216</v>
      </c>
      <c r="C56">
        <v>354</v>
      </c>
      <c r="D56" t="s">
        <v>669</v>
      </c>
      <c r="E56" t="s">
        <v>669</v>
      </c>
      <c r="F56" s="70"/>
      <c r="G56" s="3"/>
      <c r="H56" s="3"/>
      <c r="I56" s="38">
        <f>VLOOKUP(A56,$O$5:$R$279,4,0)</f>
        <v>659</v>
      </c>
      <c r="J56" s="70">
        <v>476</v>
      </c>
      <c r="K56" s="3">
        <v>9</v>
      </c>
      <c r="L56" s="3">
        <v>199</v>
      </c>
      <c r="M56" s="38">
        <f>SUM(J56:L56)</f>
        <v>684</v>
      </c>
      <c r="N56" s="67"/>
      <c r="O56" t="s">
        <v>207</v>
      </c>
      <c r="P56" t="s">
        <v>208</v>
      </c>
      <c r="Q56">
        <v>51</v>
      </c>
      <c r="R56">
        <v>718</v>
      </c>
      <c r="S56">
        <v>26</v>
      </c>
      <c r="T56" t="s">
        <v>11</v>
      </c>
    </row>
    <row r="57" spans="1:20" x14ac:dyDescent="0.25">
      <c r="A57" s="37" t="s">
        <v>410</v>
      </c>
      <c r="B57" t="s">
        <v>411</v>
      </c>
      <c r="C57">
        <v>426</v>
      </c>
      <c r="D57" t="s">
        <v>669</v>
      </c>
      <c r="E57" t="s">
        <v>669</v>
      </c>
      <c r="F57" s="70"/>
      <c r="G57" s="3"/>
      <c r="H57" s="3"/>
      <c r="I57" s="38">
        <f>VLOOKUP(A57,$O$5:$R$279,4,0)</f>
        <v>1557</v>
      </c>
      <c r="J57" s="70">
        <v>1560</v>
      </c>
      <c r="K57" s="3">
        <v>10</v>
      </c>
      <c r="L57" s="3">
        <v>81</v>
      </c>
      <c r="M57" s="38">
        <f>SUM(J57:L57)</f>
        <v>1651</v>
      </c>
      <c r="N57" s="67"/>
      <c r="O57" t="s">
        <v>163</v>
      </c>
      <c r="P57" t="s">
        <v>164</v>
      </c>
      <c r="Q57">
        <v>52</v>
      </c>
      <c r="R57">
        <v>12216</v>
      </c>
      <c r="S57">
        <v>28</v>
      </c>
      <c r="T57" t="s">
        <v>11</v>
      </c>
    </row>
    <row r="58" spans="1:20" x14ac:dyDescent="0.25">
      <c r="A58" s="37" t="s">
        <v>223</v>
      </c>
      <c r="B58" t="s">
        <v>224</v>
      </c>
      <c r="C58">
        <v>428</v>
      </c>
      <c r="D58" t="s">
        <v>669</v>
      </c>
      <c r="E58" t="s">
        <v>669</v>
      </c>
      <c r="F58" s="70"/>
      <c r="G58" s="3"/>
      <c r="H58" s="3"/>
      <c r="I58" s="38">
        <f>VLOOKUP(A58,$O$5:$R$279,4,0)</f>
        <v>108</v>
      </c>
      <c r="J58" s="70">
        <v>0</v>
      </c>
      <c r="K58" s="3">
        <v>0</v>
      </c>
      <c r="L58" s="3">
        <v>0</v>
      </c>
      <c r="M58" s="38">
        <f>SUM(J58:L58)</f>
        <v>0</v>
      </c>
      <c r="N58" s="67"/>
      <c r="O58" t="s">
        <v>213</v>
      </c>
      <c r="P58" t="s">
        <v>214</v>
      </c>
      <c r="Q58">
        <v>53</v>
      </c>
      <c r="R58">
        <v>1251</v>
      </c>
      <c r="S58">
        <v>29</v>
      </c>
      <c r="T58" t="s">
        <v>11</v>
      </c>
    </row>
    <row r="59" spans="1:20" x14ac:dyDescent="0.25">
      <c r="A59" s="37" t="s">
        <v>426</v>
      </c>
      <c r="B59" t="s">
        <v>427</v>
      </c>
      <c r="C59">
        <v>450</v>
      </c>
      <c r="D59" t="s">
        <v>669</v>
      </c>
      <c r="E59" t="s">
        <v>669</v>
      </c>
      <c r="F59" s="70"/>
      <c r="G59" s="3"/>
      <c r="H59" s="3"/>
      <c r="I59" s="38">
        <f>VLOOKUP(A59,$O$5:$R$279,4,0)</f>
        <v>1938</v>
      </c>
      <c r="J59" s="70">
        <v>1968</v>
      </c>
      <c r="K59" s="3">
        <v>20</v>
      </c>
      <c r="L59" s="3">
        <v>45</v>
      </c>
      <c r="M59" s="38">
        <f>SUM(J59:L59)</f>
        <v>2033</v>
      </c>
      <c r="N59" s="67"/>
      <c r="O59" t="s">
        <v>217</v>
      </c>
      <c r="P59" t="s">
        <v>218</v>
      </c>
      <c r="Q59">
        <v>54</v>
      </c>
      <c r="R59">
        <v>1998</v>
      </c>
      <c r="S59">
        <v>30</v>
      </c>
      <c r="T59" t="s">
        <v>11</v>
      </c>
    </row>
    <row r="60" spans="1:20" x14ac:dyDescent="0.25">
      <c r="A60" s="37" t="s">
        <v>232</v>
      </c>
      <c r="B60" t="s">
        <v>233</v>
      </c>
      <c r="C60">
        <v>501</v>
      </c>
      <c r="D60" t="s">
        <v>669</v>
      </c>
      <c r="E60" t="s">
        <v>669</v>
      </c>
      <c r="F60" s="70"/>
      <c r="G60" s="3"/>
      <c r="H60" s="3"/>
      <c r="I60" s="38">
        <f>VLOOKUP(A60,$O$5:$R$279,4,0)</f>
        <v>1125</v>
      </c>
      <c r="J60" s="70">
        <v>694</v>
      </c>
      <c r="K60" s="3">
        <v>2</v>
      </c>
      <c r="L60" s="3">
        <v>15</v>
      </c>
      <c r="M60" s="38">
        <f>SUM(J60:L60)</f>
        <v>711</v>
      </c>
      <c r="N60" s="67"/>
      <c r="O60" t="s">
        <v>221</v>
      </c>
      <c r="P60" t="s">
        <v>222</v>
      </c>
      <c r="Q60">
        <v>55</v>
      </c>
      <c r="R60">
        <v>3724</v>
      </c>
      <c r="S60">
        <v>31</v>
      </c>
      <c r="T60" t="s">
        <v>11</v>
      </c>
    </row>
    <row r="61" spans="1:20" x14ac:dyDescent="0.25">
      <c r="A61" s="37" t="s">
        <v>236</v>
      </c>
      <c r="B61" t="s">
        <v>237</v>
      </c>
      <c r="C61">
        <v>504</v>
      </c>
      <c r="D61" t="s">
        <v>669</v>
      </c>
      <c r="E61" t="s">
        <v>669</v>
      </c>
      <c r="F61" s="70"/>
      <c r="G61" s="3"/>
      <c r="H61" s="3"/>
      <c r="I61" s="38">
        <f>VLOOKUP(A61,$O$5:$R$279,4,0)</f>
        <v>1160</v>
      </c>
      <c r="J61" s="70">
        <v>907</v>
      </c>
      <c r="K61" s="3">
        <v>3</v>
      </c>
      <c r="L61" s="3">
        <v>78</v>
      </c>
      <c r="M61" s="38">
        <f>SUM(J61:L61)</f>
        <v>988</v>
      </c>
      <c r="N61" s="67"/>
      <c r="O61" t="s">
        <v>167</v>
      </c>
      <c r="P61" t="s">
        <v>168</v>
      </c>
      <c r="Q61">
        <v>56</v>
      </c>
      <c r="R61">
        <v>7158</v>
      </c>
      <c r="S61">
        <v>32</v>
      </c>
      <c r="T61" t="s">
        <v>11</v>
      </c>
    </row>
    <row r="62" spans="1:20" ht="15.75" thickBot="1" x14ac:dyDescent="0.3">
      <c r="A62" s="37" t="s">
        <v>240</v>
      </c>
      <c r="B62" t="s">
        <v>241</v>
      </c>
      <c r="C62">
        <v>505</v>
      </c>
      <c r="D62" t="s">
        <v>669</v>
      </c>
      <c r="E62" t="s">
        <v>669</v>
      </c>
      <c r="F62" s="70"/>
      <c r="G62" s="3"/>
      <c r="H62" s="3"/>
      <c r="I62" s="38">
        <f>VLOOKUP(A62,$O$5:$R$279,4,0)</f>
        <v>471</v>
      </c>
      <c r="J62" s="70">
        <v>710</v>
      </c>
      <c r="K62" s="3">
        <v>6</v>
      </c>
      <c r="L62" s="3">
        <v>179</v>
      </c>
      <c r="M62" s="38">
        <f>SUM(J62:L62)</f>
        <v>895</v>
      </c>
      <c r="N62" s="67"/>
      <c r="O62" t="s">
        <v>227</v>
      </c>
      <c r="P62" t="s">
        <v>228</v>
      </c>
      <c r="Q62">
        <v>57</v>
      </c>
      <c r="R62">
        <v>0</v>
      </c>
      <c r="S62">
        <v>3233</v>
      </c>
      <c r="T62" t="s">
        <v>11</v>
      </c>
    </row>
    <row r="63" spans="1:20" x14ac:dyDescent="0.25">
      <c r="A63" s="36" t="s">
        <v>153</v>
      </c>
      <c r="B63" s="11" t="s">
        <v>154</v>
      </c>
      <c r="C63" s="11">
        <v>4</v>
      </c>
      <c r="D63" s="11" t="s">
        <v>11</v>
      </c>
      <c r="E63" s="11" t="s">
        <v>11</v>
      </c>
      <c r="F63" s="76"/>
      <c r="G63" s="50"/>
      <c r="H63" s="50"/>
      <c r="I63" s="51">
        <f>VLOOKUP(A63,$O$5:$R$279,4,0)</f>
        <v>261</v>
      </c>
      <c r="J63" s="76">
        <v>0</v>
      </c>
      <c r="K63" s="50">
        <v>0</v>
      </c>
      <c r="L63" s="50">
        <v>0</v>
      </c>
      <c r="M63" s="51">
        <f>SUM(J63:L63)</f>
        <v>0</v>
      </c>
      <c r="N63" s="67"/>
      <c r="O63" t="s">
        <v>231</v>
      </c>
      <c r="P63" t="s">
        <v>228</v>
      </c>
      <c r="Q63">
        <v>58</v>
      </c>
      <c r="R63">
        <v>1344</v>
      </c>
      <c r="S63">
        <v>33</v>
      </c>
      <c r="T63" t="s">
        <v>11</v>
      </c>
    </row>
    <row r="64" spans="1:20" x14ac:dyDescent="0.25">
      <c r="A64" s="37" t="s">
        <v>157</v>
      </c>
      <c r="B64" t="s">
        <v>158</v>
      </c>
      <c r="C64">
        <v>7</v>
      </c>
      <c r="D64" t="s">
        <v>11</v>
      </c>
      <c r="E64" t="s">
        <v>11</v>
      </c>
      <c r="F64" s="70"/>
      <c r="G64" s="3"/>
      <c r="H64" s="3"/>
      <c r="I64" s="38">
        <f>VLOOKUP(A64,$O$5:$R$279,4,0)</f>
        <v>2869</v>
      </c>
      <c r="J64" s="70">
        <v>28878</v>
      </c>
      <c r="K64" s="3">
        <v>617</v>
      </c>
      <c r="L64" s="3">
        <v>2232</v>
      </c>
      <c r="M64" s="38">
        <f>SUM(J64:L64)</f>
        <v>31727</v>
      </c>
      <c r="N64" s="67"/>
      <c r="O64" t="s">
        <v>234</v>
      </c>
      <c r="P64" t="s">
        <v>235</v>
      </c>
      <c r="Q64">
        <v>59</v>
      </c>
      <c r="R64">
        <v>5091</v>
      </c>
      <c r="S64">
        <v>34</v>
      </c>
      <c r="T64" t="s">
        <v>11</v>
      </c>
    </row>
    <row r="65" spans="1:20" x14ac:dyDescent="0.25">
      <c r="A65" s="37" t="s">
        <v>161</v>
      </c>
      <c r="B65" t="s">
        <v>162</v>
      </c>
      <c r="C65">
        <v>8</v>
      </c>
      <c r="D65" t="s">
        <v>11</v>
      </c>
      <c r="E65" t="s">
        <v>11</v>
      </c>
      <c r="F65" s="70"/>
      <c r="G65" s="3"/>
      <c r="H65" s="3"/>
      <c r="I65" s="38">
        <f>VLOOKUP(A65,$O$5:$R$279,4,0)</f>
        <v>2874</v>
      </c>
      <c r="J65" s="70">
        <v>7749</v>
      </c>
      <c r="K65" s="3">
        <v>32</v>
      </c>
      <c r="L65" s="3">
        <v>45</v>
      </c>
      <c r="M65" s="38">
        <f>SUM(J65:L65)</f>
        <v>7826</v>
      </c>
      <c r="N65" s="67"/>
      <c r="O65" t="s">
        <v>238</v>
      </c>
      <c r="P65" t="s">
        <v>239</v>
      </c>
      <c r="Q65">
        <v>59</v>
      </c>
      <c r="R65">
        <v>0</v>
      </c>
      <c r="S65" t="s">
        <v>289</v>
      </c>
      <c r="T65" t="s">
        <v>11</v>
      </c>
    </row>
    <row r="66" spans="1:20" x14ac:dyDescent="0.25">
      <c r="A66" s="37" t="s">
        <v>165</v>
      </c>
      <c r="B66" t="s">
        <v>166</v>
      </c>
      <c r="C66">
        <v>9</v>
      </c>
      <c r="D66" t="s">
        <v>11</v>
      </c>
      <c r="E66" t="s">
        <v>11</v>
      </c>
      <c r="F66" s="70"/>
      <c r="G66" s="3"/>
      <c r="H66" s="3"/>
      <c r="I66" s="38">
        <f>VLOOKUP(A66,$O$5:$R$279,4,0)</f>
        <v>4975</v>
      </c>
      <c r="J66" s="70">
        <v>6608</v>
      </c>
      <c r="K66" s="3">
        <v>34</v>
      </c>
      <c r="L66" s="3">
        <v>36</v>
      </c>
      <c r="M66" s="38">
        <f>SUM(J66:L66)</f>
        <v>6678</v>
      </c>
      <c r="N66" s="67"/>
      <c r="O66" t="s">
        <v>242</v>
      </c>
      <c r="P66" t="s">
        <v>243</v>
      </c>
      <c r="Q66">
        <v>61</v>
      </c>
      <c r="R66">
        <v>1596</v>
      </c>
      <c r="S66">
        <v>35</v>
      </c>
      <c r="T66" t="s">
        <v>11</v>
      </c>
    </row>
    <row r="67" spans="1:20" x14ac:dyDescent="0.25">
      <c r="A67" s="37" t="s">
        <v>169</v>
      </c>
      <c r="B67" t="s">
        <v>166</v>
      </c>
      <c r="C67">
        <v>10</v>
      </c>
      <c r="D67" t="s">
        <v>11</v>
      </c>
      <c r="E67" t="s">
        <v>11</v>
      </c>
      <c r="F67" s="70"/>
      <c r="G67" s="3"/>
      <c r="H67" s="3"/>
      <c r="I67" s="38">
        <f>VLOOKUP(A67,$O$5:$R$279,4,0)</f>
        <v>2431</v>
      </c>
      <c r="J67" s="70">
        <v>963</v>
      </c>
      <c r="K67" s="3">
        <v>6</v>
      </c>
      <c r="L67" s="3">
        <v>4</v>
      </c>
      <c r="M67" s="38">
        <f>SUM(J67:L67)</f>
        <v>973</v>
      </c>
      <c r="N67" s="67"/>
      <c r="O67" t="s">
        <v>246</v>
      </c>
      <c r="P67" t="s">
        <v>247</v>
      </c>
      <c r="Q67">
        <v>62</v>
      </c>
      <c r="R67">
        <v>2089</v>
      </c>
      <c r="S67">
        <v>36</v>
      </c>
      <c r="T67" t="s">
        <v>11</v>
      </c>
    </row>
    <row r="68" spans="1:20" x14ac:dyDescent="0.25">
      <c r="A68" s="37" t="s">
        <v>172</v>
      </c>
      <c r="B68" t="s">
        <v>173</v>
      </c>
      <c r="C68">
        <v>11</v>
      </c>
      <c r="D68" t="s">
        <v>11</v>
      </c>
      <c r="E68" t="s">
        <v>11</v>
      </c>
      <c r="F68" s="70"/>
      <c r="G68" s="3"/>
      <c r="H68" s="3"/>
      <c r="I68" s="38">
        <f>VLOOKUP(A68,$O$5:$R$279,4,0)</f>
        <v>1634</v>
      </c>
      <c r="J68" s="70">
        <v>1316</v>
      </c>
      <c r="K68" s="3">
        <v>3</v>
      </c>
      <c r="L68" s="3">
        <v>1</v>
      </c>
      <c r="M68" s="38">
        <f>SUM(J68:L68)</f>
        <v>1320</v>
      </c>
      <c r="N68" s="67"/>
      <c r="O68" t="s">
        <v>250</v>
      </c>
      <c r="P68" t="s">
        <v>251</v>
      </c>
      <c r="Q68">
        <v>63</v>
      </c>
      <c r="R68">
        <v>956</v>
      </c>
      <c r="S68">
        <v>37</v>
      </c>
      <c r="T68" t="s">
        <v>11</v>
      </c>
    </row>
    <row r="69" spans="1:20" x14ac:dyDescent="0.25">
      <c r="A69" s="37" t="s">
        <v>176</v>
      </c>
      <c r="B69" t="s">
        <v>177</v>
      </c>
      <c r="C69">
        <v>14</v>
      </c>
      <c r="D69" t="s">
        <v>11</v>
      </c>
      <c r="E69" t="s">
        <v>11</v>
      </c>
      <c r="F69" s="70"/>
      <c r="G69" s="3"/>
      <c r="H69" s="3"/>
      <c r="I69" s="38">
        <f>VLOOKUP(A69,$O$5:$R$279,4,0)</f>
        <v>1109</v>
      </c>
      <c r="J69" s="70">
        <v>764</v>
      </c>
      <c r="K69" s="3">
        <v>7</v>
      </c>
      <c r="L69" s="3">
        <v>10</v>
      </c>
      <c r="M69" s="38">
        <f>SUM(J69:L69)</f>
        <v>781</v>
      </c>
      <c r="N69" s="67"/>
      <c r="O69" t="s">
        <v>252</v>
      </c>
      <c r="P69" t="s">
        <v>253</v>
      </c>
      <c r="Q69">
        <v>64</v>
      </c>
      <c r="R69">
        <v>633</v>
      </c>
      <c r="S69">
        <v>38</v>
      </c>
      <c r="T69" t="s">
        <v>11</v>
      </c>
    </row>
    <row r="70" spans="1:20" x14ac:dyDescent="0.25">
      <c r="A70" s="37" t="s">
        <v>181</v>
      </c>
      <c r="B70" t="s">
        <v>182</v>
      </c>
      <c r="C70">
        <v>16</v>
      </c>
      <c r="D70" t="s">
        <v>11</v>
      </c>
      <c r="E70" t="s">
        <v>11</v>
      </c>
      <c r="F70" s="70"/>
      <c r="G70" s="3"/>
      <c r="H70" s="3"/>
      <c r="I70" s="38">
        <f>VLOOKUP(A70,$O$5:$R$279,4,0)</f>
        <v>6537</v>
      </c>
      <c r="J70" s="70">
        <v>9587</v>
      </c>
      <c r="K70" s="3">
        <v>29</v>
      </c>
      <c r="L70" s="3">
        <v>80</v>
      </c>
      <c r="M70" s="38">
        <f>SUM(J70:L70)</f>
        <v>9696</v>
      </c>
      <c r="N70" s="67"/>
      <c r="O70" t="s">
        <v>170</v>
      </c>
      <c r="P70" t="s">
        <v>171</v>
      </c>
      <c r="Q70">
        <v>65</v>
      </c>
      <c r="R70">
        <v>9112</v>
      </c>
      <c r="S70">
        <v>39</v>
      </c>
      <c r="T70" t="s">
        <v>11</v>
      </c>
    </row>
    <row r="71" spans="1:20" x14ac:dyDescent="0.25">
      <c r="A71" s="37" t="s">
        <v>185</v>
      </c>
      <c r="B71" t="s">
        <v>186</v>
      </c>
      <c r="C71">
        <v>17</v>
      </c>
      <c r="D71" t="s">
        <v>11</v>
      </c>
      <c r="E71" t="s">
        <v>11</v>
      </c>
      <c r="F71" s="70"/>
      <c r="G71" s="3"/>
      <c r="H71" s="3"/>
      <c r="I71" s="38">
        <f>VLOOKUP(A71,$O$5:$R$279,4,0)</f>
        <v>2023</v>
      </c>
      <c r="J71" s="70">
        <v>786</v>
      </c>
      <c r="K71" s="3">
        <v>0</v>
      </c>
      <c r="L71" s="3">
        <v>1</v>
      </c>
      <c r="M71" s="38">
        <f>SUM(J71:L71)</f>
        <v>787</v>
      </c>
      <c r="N71" s="67"/>
      <c r="O71" t="s">
        <v>254</v>
      </c>
      <c r="P71" t="s">
        <v>255</v>
      </c>
      <c r="Q71">
        <v>66</v>
      </c>
      <c r="R71">
        <v>1182</v>
      </c>
      <c r="S71">
        <v>40</v>
      </c>
      <c r="T71" t="s">
        <v>11</v>
      </c>
    </row>
    <row r="72" spans="1:20" x14ac:dyDescent="0.25">
      <c r="A72" s="37" t="s">
        <v>189</v>
      </c>
      <c r="B72" t="s">
        <v>190</v>
      </c>
      <c r="C72">
        <v>18</v>
      </c>
      <c r="D72" t="s">
        <v>11</v>
      </c>
      <c r="E72" t="s">
        <v>11</v>
      </c>
      <c r="F72" s="70"/>
      <c r="G72" s="3"/>
      <c r="H72" s="3"/>
      <c r="I72" s="38">
        <f>VLOOKUP(A72,$O$5:$R$279,4,0)</f>
        <v>197</v>
      </c>
      <c r="J72" s="70">
        <v>166</v>
      </c>
      <c r="K72" s="3">
        <v>1</v>
      </c>
      <c r="L72" s="3">
        <v>1</v>
      </c>
      <c r="M72" s="38">
        <f>SUM(J72:L72)</f>
        <v>168</v>
      </c>
      <c r="N72" s="67"/>
      <c r="O72" t="s">
        <v>256</v>
      </c>
      <c r="P72" t="s">
        <v>255</v>
      </c>
      <c r="Q72">
        <v>67</v>
      </c>
      <c r="R72">
        <v>0</v>
      </c>
      <c r="S72">
        <v>4050</v>
      </c>
      <c r="T72" t="s">
        <v>11</v>
      </c>
    </row>
    <row r="73" spans="1:20" x14ac:dyDescent="0.25">
      <c r="A73" s="37" t="s">
        <v>193</v>
      </c>
      <c r="B73" t="s">
        <v>194</v>
      </c>
      <c r="C73">
        <v>19</v>
      </c>
      <c r="D73" t="s">
        <v>11</v>
      </c>
      <c r="E73" t="s">
        <v>11</v>
      </c>
      <c r="F73" s="70"/>
      <c r="G73" s="3"/>
      <c r="H73" s="3"/>
      <c r="I73" s="38">
        <f>VLOOKUP(A73,$O$5:$R$279,4,0)</f>
        <v>2760</v>
      </c>
      <c r="J73" s="70">
        <v>434</v>
      </c>
      <c r="K73" s="3">
        <v>0</v>
      </c>
      <c r="L73" s="3">
        <v>12</v>
      </c>
      <c r="M73" s="38">
        <f>SUM(J73:L73)</f>
        <v>446</v>
      </c>
      <c r="N73" s="67"/>
      <c r="O73" t="s">
        <v>257</v>
      </c>
      <c r="P73" t="s">
        <v>258</v>
      </c>
      <c r="Q73">
        <v>68</v>
      </c>
      <c r="R73">
        <v>1411</v>
      </c>
      <c r="S73">
        <v>41</v>
      </c>
      <c r="T73" t="s">
        <v>11</v>
      </c>
    </row>
    <row r="74" spans="1:20" x14ac:dyDescent="0.25">
      <c r="A74" s="37" t="s">
        <v>197</v>
      </c>
      <c r="B74" t="s">
        <v>198</v>
      </c>
      <c r="C74">
        <v>21</v>
      </c>
      <c r="D74" t="s">
        <v>11</v>
      </c>
      <c r="E74" t="s">
        <v>11</v>
      </c>
      <c r="F74" s="70"/>
      <c r="G74" s="3"/>
      <c r="H74" s="3"/>
      <c r="I74" s="38">
        <f>VLOOKUP(A74,$O$5:$R$279,4,0)</f>
        <v>4494</v>
      </c>
      <c r="J74" s="70">
        <v>3743</v>
      </c>
      <c r="K74" s="3">
        <v>17</v>
      </c>
      <c r="L74" s="3">
        <v>21</v>
      </c>
      <c r="M74" s="38">
        <f>SUM(J74:L74)</f>
        <v>3781</v>
      </c>
      <c r="N74" s="67"/>
      <c r="O74" t="s">
        <v>259</v>
      </c>
      <c r="P74" t="s">
        <v>260</v>
      </c>
      <c r="Q74">
        <v>69</v>
      </c>
      <c r="R74">
        <v>2110</v>
      </c>
      <c r="S74">
        <v>42</v>
      </c>
      <c r="T74" t="s">
        <v>11</v>
      </c>
    </row>
    <row r="75" spans="1:20" x14ac:dyDescent="0.25">
      <c r="A75" s="37" t="s">
        <v>203</v>
      </c>
      <c r="B75" t="s">
        <v>204</v>
      </c>
      <c r="C75">
        <v>24</v>
      </c>
      <c r="D75" t="s">
        <v>11</v>
      </c>
      <c r="E75" t="s">
        <v>11</v>
      </c>
      <c r="F75" s="70"/>
      <c r="G75" s="3"/>
      <c r="H75" s="3"/>
      <c r="I75" s="38">
        <f>VLOOKUP(A75,$O$5:$R$279,4,0)</f>
        <v>2211</v>
      </c>
      <c r="J75" s="70">
        <v>4372</v>
      </c>
      <c r="K75" s="3">
        <v>46</v>
      </c>
      <c r="L75" s="3">
        <v>124</v>
      </c>
      <c r="M75" s="38">
        <f>SUM(J75:L75)</f>
        <v>4542</v>
      </c>
      <c r="N75" s="67"/>
      <c r="O75" t="s">
        <v>261</v>
      </c>
      <c r="P75" t="s">
        <v>262</v>
      </c>
      <c r="Q75">
        <v>70</v>
      </c>
      <c r="R75">
        <v>335</v>
      </c>
      <c r="S75">
        <v>43</v>
      </c>
      <c r="T75" t="s">
        <v>11</v>
      </c>
    </row>
    <row r="76" spans="1:20" x14ac:dyDescent="0.25">
      <c r="A76" s="37" t="s">
        <v>207</v>
      </c>
      <c r="B76" t="s">
        <v>208</v>
      </c>
      <c r="C76">
        <v>26</v>
      </c>
      <c r="D76" t="s">
        <v>11</v>
      </c>
      <c r="E76" t="s">
        <v>11</v>
      </c>
      <c r="F76" s="70"/>
      <c r="G76" s="3"/>
      <c r="H76" s="3"/>
      <c r="I76" s="38">
        <f>VLOOKUP(A76,$O$5:$R$279,4,0)</f>
        <v>718</v>
      </c>
      <c r="J76" s="70">
        <v>874</v>
      </c>
      <c r="K76" s="3">
        <v>1</v>
      </c>
      <c r="L76" s="3">
        <v>1</v>
      </c>
      <c r="M76" s="38">
        <f>SUM(J76:L76)</f>
        <v>876</v>
      </c>
      <c r="N76" s="67"/>
      <c r="O76" t="s">
        <v>263</v>
      </c>
      <c r="P76" t="s">
        <v>264</v>
      </c>
      <c r="Q76">
        <v>71</v>
      </c>
      <c r="R76">
        <v>2660</v>
      </c>
      <c r="S76">
        <v>44</v>
      </c>
      <c r="T76" t="s">
        <v>11</v>
      </c>
    </row>
    <row r="77" spans="1:20" x14ac:dyDescent="0.25">
      <c r="A77" s="37" t="s">
        <v>213</v>
      </c>
      <c r="B77" t="s">
        <v>214</v>
      </c>
      <c r="C77">
        <v>29</v>
      </c>
      <c r="D77" t="s">
        <v>11</v>
      </c>
      <c r="E77" t="s">
        <v>11</v>
      </c>
      <c r="F77" s="70"/>
      <c r="G77" s="3"/>
      <c r="H77" s="3"/>
      <c r="I77" s="38">
        <f>VLOOKUP(A77,$O$5:$R$279,4,0)</f>
        <v>1251</v>
      </c>
      <c r="J77" s="70">
        <v>250</v>
      </c>
      <c r="K77" s="3">
        <v>4</v>
      </c>
      <c r="L77" s="3">
        <v>2</v>
      </c>
      <c r="M77" s="38">
        <f>SUM(J77:L77)</f>
        <v>256</v>
      </c>
      <c r="N77" s="67"/>
      <c r="O77" t="s">
        <v>265</v>
      </c>
      <c r="P77" t="s">
        <v>266</v>
      </c>
      <c r="Q77">
        <v>72</v>
      </c>
      <c r="R77">
        <v>1926</v>
      </c>
      <c r="S77">
        <v>45</v>
      </c>
      <c r="T77" t="s">
        <v>11</v>
      </c>
    </row>
    <row r="78" spans="1:20" x14ac:dyDescent="0.25">
      <c r="A78" s="37" t="s">
        <v>217</v>
      </c>
      <c r="B78" t="s">
        <v>218</v>
      </c>
      <c r="C78">
        <v>30</v>
      </c>
      <c r="D78" t="s">
        <v>11</v>
      </c>
      <c r="E78" t="s">
        <v>11</v>
      </c>
      <c r="F78" s="70"/>
      <c r="G78" s="3"/>
      <c r="H78" s="3"/>
      <c r="I78" s="38">
        <f>VLOOKUP(A78,$O$5:$R$279,4,0)</f>
        <v>1998</v>
      </c>
      <c r="J78" s="70">
        <v>1200</v>
      </c>
      <c r="K78" s="3">
        <v>7</v>
      </c>
      <c r="L78" s="3">
        <v>15</v>
      </c>
      <c r="M78" s="38">
        <f>SUM(J78:L78)</f>
        <v>1222</v>
      </c>
      <c r="N78" s="67"/>
      <c r="O78" t="s">
        <v>267</v>
      </c>
      <c r="P78" t="s">
        <v>673</v>
      </c>
      <c r="Q78">
        <v>73</v>
      </c>
      <c r="R78">
        <v>4466</v>
      </c>
      <c r="S78">
        <v>47</v>
      </c>
      <c r="T78" t="s">
        <v>11</v>
      </c>
    </row>
    <row r="79" spans="1:20" x14ac:dyDescent="0.25">
      <c r="A79" s="37" t="s">
        <v>221</v>
      </c>
      <c r="B79" t="s">
        <v>222</v>
      </c>
      <c r="C79">
        <v>31</v>
      </c>
      <c r="D79" t="s">
        <v>11</v>
      </c>
      <c r="E79" t="s">
        <v>11</v>
      </c>
      <c r="F79" s="70"/>
      <c r="G79" s="3"/>
      <c r="H79" s="3"/>
      <c r="I79" s="38">
        <f>VLOOKUP(A79,$O$5:$R$279,4,0)</f>
        <v>3724</v>
      </c>
      <c r="J79" s="70">
        <v>3158</v>
      </c>
      <c r="K79" s="3">
        <v>28</v>
      </c>
      <c r="L79" s="3">
        <v>23</v>
      </c>
      <c r="M79" s="38">
        <f>SUM(J79:L79)</f>
        <v>3209</v>
      </c>
      <c r="N79" s="67"/>
      <c r="O79" t="s">
        <v>269</v>
      </c>
      <c r="P79" t="s">
        <v>270</v>
      </c>
      <c r="Q79">
        <v>74</v>
      </c>
      <c r="R79">
        <v>927</v>
      </c>
      <c r="S79">
        <v>50</v>
      </c>
      <c r="T79" t="s">
        <v>11</v>
      </c>
    </row>
    <row r="80" spans="1:20" x14ac:dyDescent="0.25">
      <c r="A80" s="37" t="s">
        <v>227</v>
      </c>
      <c r="B80" t="s">
        <v>228</v>
      </c>
      <c r="C80">
        <v>3233</v>
      </c>
      <c r="D80" t="s">
        <v>11</v>
      </c>
      <c r="E80" t="s">
        <v>11</v>
      </c>
      <c r="F80" s="70"/>
      <c r="G80" s="3"/>
      <c r="H80" s="3"/>
      <c r="I80" s="38">
        <f>VLOOKUP(A80,$O$5:$R$279,4,0)</f>
        <v>0</v>
      </c>
      <c r="J80" s="70">
        <v>0</v>
      </c>
      <c r="K80" s="3">
        <v>0</v>
      </c>
      <c r="L80" s="3">
        <v>0</v>
      </c>
      <c r="M80" s="38">
        <f>SUM(J80:L80)</f>
        <v>0</v>
      </c>
      <c r="N80" s="67"/>
      <c r="O80" t="s">
        <v>271</v>
      </c>
      <c r="P80" t="s">
        <v>272</v>
      </c>
      <c r="Q80">
        <v>75</v>
      </c>
      <c r="R80">
        <v>1296</v>
      </c>
      <c r="S80">
        <v>51</v>
      </c>
      <c r="T80" t="s">
        <v>11</v>
      </c>
    </row>
    <row r="81" spans="1:20" x14ac:dyDescent="0.25">
      <c r="A81" s="37" t="s">
        <v>231</v>
      </c>
      <c r="B81" t="s">
        <v>228</v>
      </c>
      <c r="C81">
        <v>33</v>
      </c>
      <c r="D81" t="s">
        <v>11</v>
      </c>
      <c r="E81" t="s">
        <v>11</v>
      </c>
      <c r="F81" s="70"/>
      <c r="G81" s="3"/>
      <c r="H81" s="3"/>
      <c r="I81" s="38">
        <f>VLOOKUP(A81,$O$5:$R$279,4,0)</f>
        <v>1344</v>
      </c>
      <c r="J81" s="70">
        <v>0</v>
      </c>
      <c r="K81" s="3">
        <v>0</v>
      </c>
      <c r="L81" s="3">
        <v>0</v>
      </c>
      <c r="M81" s="38">
        <f>SUM(J81:L81)</f>
        <v>0</v>
      </c>
      <c r="N81" s="67"/>
      <c r="O81" t="s">
        <v>273</v>
      </c>
      <c r="P81" t="s">
        <v>274</v>
      </c>
      <c r="Q81">
        <v>76</v>
      </c>
      <c r="R81">
        <v>334</v>
      </c>
      <c r="S81">
        <v>52</v>
      </c>
      <c r="T81" t="s">
        <v>11</v>
      </c>
    </row>
    <row r="82" spans="1:20" x14ac:dyDescent="0.25">
      <c r="A82" s="37" t="s">
        <v>234</v>
      </c>
      <c r="B82" t="s">
        <v>235</v>
      </c>
      <c r="C82">
        <v>34</v>
      </c>
      <c r="D82" t="s">
        <v>11</v>
      </c>
      <c r="E82" t="s">
        <v>11</v>
      </c>
      <c r="F82" s="70"/>
      <c r="G82" s="3"/>
      <c r="H82" s="3"/>
      <c r="I82" s="38">
        <f>VLOOKUP(A82,$O$5:$R$279,4,0)</f>
        <v>5091</v>
      </c>
      <c r="J82" s="70">
        <v>2729</v>
      </c>
      <c r="K82" s="3">
        <v>35</v>
      </c>
      <c r="L82" s="3">
        <v>19</v>
      </c>
      <c r="M82" s="38">
        <f>SUM(J82:L82)</f>
        <v>2783</v>
      </c>
      <c r="N82" s="67"/>
      <c r="O82" t="s">
        <v>275</v>
      </c>
      <c r="P82" t="s">
        <v>276</v>
      </c>
      <c r="Q82">
        <v>77</v>
      </c>
      <c r="R82">
        <v>80</v>
      </c>
      <c r="S82">
        <v>55</v>
      </c>
      <c r="T82" t="s">
        <v>11</v>
      </c>
    </row>
    <row r="83" spans="1:20" x14ac:dyDescent="0.25">
      <c r="A83" s="37" t="s">
        <v>238</v>
      </c>
      <c r="B83" t="s">
        <v>239</v>
      </c>
      <c r="C83" t="s">
        <v>289</v>
      </c>
      <c r="D83" t="s">
        <v>11</v>
      </c>
      <c r="E83" t="s">
        <v>11</v>
      </c>
      <c r="F83" s="70"/>
      <c r="G83" s="3"/>
      <c r="H83" s="3"/>
      <c r="I83" s="38">
        <f>VLOOKUP(A83,$O$5:$R$279,4,0)</f>
        <v>0</v>
      </c>
      <c r="J83" s="70">
        <v>3477</v>
      </c>
      <c r="K83" s="3">
        <v>69</v>
      </c>
      <c r="L83" s="3">
        <v>319</v>
      </c>
      <c r="M83" s="38">
        <f>SUM(J83:L83)</f>
        <v>3865</v>
      </c>
      <c r="N83" s="67"/>
      <c r="O83" t="s">
        <v>174</v>
      </c>
      <c r="P83" t="s">
        <v>175</v>
      </c>
      <c r="Q83">
        <v>78</v>
      </c>
      <c r="R83">
        <v>8729</v>
      </c>
      <c r="S83">
        <v>57</v>
      </c>
      <c r="T83" t="s">
        <v>11</v>
      </c>
    </row>
    <row r="84" spans="1:20" x14ac:dyDescent="0.25">
      <c r="A84" s="37" t="s">
        <v>242</v>
      </c>
      <c r="B84" t="s">
        <v>243</v>
      </c>
      <c r="C84">
        <v>35</v>
      </c>
      <c r="D84" t="s">
        <v>11</v>
      </c>
      <c r="E84" t="s">
        <v>11</v>
      </c>
      <c r="F84" s="70"/>
      <c r="G84" s="3"/>
      <c r="H84" s="3"/>
      <c r="I84" s="38">
        <f>VLOOKUP(A84,$O$5:$R$279,4,0)</f>
        <v>1596</v>
      </c>
      <c r="J84" s="70">
        <v>2340</v>
      </c>
      <c r="K84" s="3">
        <v>20</v>
      </c>
      <c r="L84" s="3">
        <v>122</v>
      </c>
      <c r="M84" s="38">
        <f>SUM(J84:L84)</f>
        <v>2482</v>
      </c>
      <c r="N84" s="67"/>
      <c r="O84" t="s">
        <v>277</v>
      </c>
      <c r="P84" t="s">
        <v>278</v>
      </c>
      <c r="Q84">
        <v>79</v>
      </c>
      <c r="R84">
        <v>990</v>
      </c>
      <c r="S84">
        <v>59</v>
      </c>
      <c r="T84" t="s">
        <v>11</v>
      </c>
    </row>
    <row r="85" spans="1:20" x14ac:dyDescent="0.25">
      <c r="A85" s="37" t="s">
        <v>246</v>
      </c>
      <c r="B85" t="s">
        <v>247</v>
      </c>
      <c r="C85">
        <v>36</v>
      </c>
      <c r="D85" t="s">
        <v>11</v>
      </c>
      <c r="E85" t="s">
        <v>11</v>
      </c>
      <c r="F85" s="70"/>
      <c r="G85" s="3"/>
      <c r="H85" s="3"/>
      <c r="I85" s="38">
        <f>VLOOKUP(A85,$O$5:$R$279,4,0)</f>
        <v>2089</v>
      </c>
      <c r="J85" s="70">
        <v>2658</v>
      </c>
      <c r="K85" s="3">
        <v>30</v>
      </c>
      <c r="L85" s="3">
        <v>114</v>
      </c>
      <c r="M85" s="38">
        <f>SUM(J85:L85)</f>
        <v>2802</v>
      </c>
      <c r="N85" s="67"/>
      <c r="O85" t="s">
        <v>279</v>
      </c>
      <c r="P85" t="s">
        <v>280</v>
      </c>
      <c r="Q85">
        <v>80</v>
      </c>
      <c r="R85">
        <v>971</v>
      </c>
      <c r="S85">
        <v>60</v>
      </c>
      <c r="T85" t="s">
        <v>11</v>
      </c>
    </row>
    <row r="86" spans="1:20" x14ac:dyDescent="0.25">
      <c r="A86" s="37" t="s">
        <v>250</v>
      </c>
      <c r="B86" t="s">
        <v>251</v>
      </c>
      <c r="C86">
        <v>37</v>
      </c>
      <c r="D86" t="s">
        <v>11</v>
      </c>
      <c r="E86" t="s">
        <v>11</v>
      </c>
      <c r="F86" s="70"/>
      <c r="G86" s="3"/>
      <c r="H86" s="3"/>
      <c r="I86" s="38">
        <f>VLOOKUP(A86,$O$5:$R$279,4,0)</f>
        <v>956</v>
      </c>
      <c r="J86" s="70">
        <v>0</v>
      </c>
      <c r="K86" s="3">
        <v>0</v>
      </c>
      <c r="L86" s="3">
        <v>0</v>
      </c>
      <c r="M86" s="38">
        <f>SUM(J86:L86)</f>
        <v>0</v>
      </c>
      <c r="N86" s="67"/>
      <c r="O86" t="s">
        <v>281</v>
      </c>
      <c r="P86" t="s">
        <v>282</v>
      </c>
      <c r="Q86">
        <v>81</v>
      </c>
      <c r="R86">
        <v>388</v>
      </c>
      <c r="S86">
        <v>61</v>
      </c>
      <c r="T86" t="s">
        <v>11</v>
      </c>
    </row>
    <row r="87" spans="1:20" x14ac:dyDescent="0.25">
      <c r="A87" s="37" t="s">
        <v>252</v>
      </c>
      <c r="B87" t="s">
        <v>253</v>
      </c>
      <c r="C87">
        <v>38</v>
      </c>
      <c r="D87" t="s">
        <v>11</v>
      </c>
      <c r="E87" t="s">
        <v>11</v>
      </c>
      <c r="F87" s="70"/>
      <c r="G87" s="3"/>
      <c r="H87" s="3"/>
      <c r="I87" s="38">
        <f>VLOOKUP(A87,$O$5:$R$279,4,0)</f>
        <v>633</v>
      </c>
      <c r="J87" s="70">
        <v>1425</v>
      </c>
      <c r="K87" s="3">
        <v>13</v>
      </c>
      <c r="L87" s="3">
        <v>70</v>
      </c>
      <c r="M87" s="38">
        <f>SUM(J87:L87)</f>
        <v>1508</v>
      </c>
      <c r="N87" s="67"/>
      <c r="O87" t="s">
        <v>283</v>
      </c>
      <c r="P87" t="s">
        <v>284</v>
      </c>
      <c r="Q87">
        <v>82</v>
      </c>
      <c r="R87">
        <v>745</v>
      </c>
      <c r="S87">
        <v>62</v>
      </c>
      <c r="T87" t="s">
        <v>11</v>
      </c>
    </row>
    <row r="88" spans="1:20" x14ac:dyDescent="0.25">
      <c r="A88" s="37" t="s">
        <v>254</v>
      </c>
      <c r="B88" t="s">
        <v>255</v>
      </c>
      <c r="C88">
        <v>40</v>
      </c>
      <c r="D88" t="s">
        <v>11</v>
      </c>
      <c r="E88" t="s">
        <v>11</v>
      </c>
      <c r="F88" s="70"/>
      <c r="G88" s="3"/>
      <c r="H88" s="3"/>
      <c r="I88" s="38">
        <f>VLOOKUP(A88,$O$5:$R$279,4,0)</f>
        <v>1182</v>
      </c>
      <c r="J88" s="70">
        <v>1352</v>
      </c>
      <c r="K88" s="3">
        <v>7</v>
      </c>
      <c r="L88" s="3">
        <v>5</v>
      </c>
      <c r="M88" s="38">
        <f>SUM(J88:L88)</f>
        <v>1364</v>
      </c>
      <c r="N88" s="67"/>
      <c r="O88" t="s">
        <v>285</v>
      </c>
      <c r="P88" t="s">
        <v>286</v>
      </c>
      <c r="Q88">
        <v>82</v>
      </c>
      <c r="R88">
        <v>0</v>
      </c>
      <c r="S88">
        <v>6276</v>
      </c>
      <c r="T88" t="s">
        <v>11</v>
      </c>
    </row>
    <row r="89" spans="1:20" x14ac:dyDescent="0.25">
      <c r="A89" s="37" t="s">
        <v>256</v>
      </c>
      <c r="B89" t="s">
        <v>255</v>
      </c>
      <c r="C89">
        <v>4050</v>
      </c>
      <c r="D89" t="s">
        <v>11</v>
      </c>
      <c r="E89" t="s">
        <v>11</v>
      </c>
      <c r="F89" s="70"/>
      <c r="G89" s="3"/>
      <c r="H89" s="3"/>
      <c r="I89" s="38">
        <f>VLOOKUP(A89,$O$5:$R$279,4,0)</f>
        <v>0</v>
      </c>
      <c r="J89" s="70">
        <v>0</v>
      </c>
      <c r="K89" s="3">
        <v>0</v>
      </c>
      <c r="L89" s="3">
        <v>0</v>
      </c>
      <c r="M89" s="38">
        <f>SUM(J89:L89)</f>
        <v>0</v>
      </c>
      <c r="N89" s="67"/>
      <c r="O89" t="s">
        <v>287</v>
      </c>
      <c r="P89" t="s">
        <v>288</v>
      </c>
      <c r="Q89">
        <v>84</v>
      </c>
      <c r="R89">
        <v>1488</v>
      </c>
      <c r="S89">
        <v>64</v>
      </c>
      <c r="T89" t="s">
        <v>11</v>
      </c>
    </row>
    <row r="90" spans="1:20" x14ac:dyDescent="0.25">
      <c r="A90" s="37" t="s">
        <v>257</v>
      </c>
      <c r="B90" t="s">
        <v>258</v>
      </c>
      <c r="C90">
        <v>41</v>
      </c>
      <c r="D90" t="s">
        <v>11</v>
      </c>
      <c r="E90" t="s">
        <v>11</v>
      </c>
      <c r="F90" s="70"/>
      <c r="G90" s="3"/>
      <c r="H90" s="3"/>
      <c r="I90" s="38">
        <f>VLOOKUP(A90,$O$5:$R$279,4,0)</f>
        <v>1411</v>
      </c>
      <c r="J90" s="70">
        <v>1103</v>
      </c>
      <c r="K90" s="3">
        <v>3</v>
      </c>
      <c r="L90" s="3">
        <v>0</v>
      </c>
      <c r="M90" s="38">
        <f>SUM(J90:L90)</f>
        <v>1106</v>
      </c>
      <c r="N90" s="67"/>
      <c r="O90" t="s">
        <v>290</v>
      </c>
      <c r="P90" t="s">
        <v>291</v>
      </c>
      <c r="Q90">
        <v>85</v>
      </c>
      <c r="R90">
        <v>2531</v>
      </c>
      <c r="S90">
        <v>65</v>
      </c>
      <c r="T90" t="s">
        <v>11</v>
      </c>
    </row>
    <row r="91" spans="1:20" x14ac:dyDescent="0.25">
      <c r="A91" s="37" t="s">
        <v>259</v>
      </c>
      <c r="B91" t="s">
        <v>260</v>
      </c>
      <c r="C91">
        <v>42</v>
      </c>
      <c r="D91" t="s">
        <v>11</v>
      </c>
      <c r="E91" t="s">
        <v>11</v>
      </c>
      <c r="F91" s="70"/>
      <c r="G91" s="3"/>
      <c r="H91" s="3"/>
      <c r="I91" s="38">
        <f>VLOOKUP(A91,$O$5:$R$279,4,0)</f>
        <v>2110</v>
      </c>
      <c r="J91" s="70">
        <v>4240</v>
      </c>
      <c r="K91" s="3">
        <v>10</v>
      </c>
      <c r="L91" s="3">
        <v>100</v>
      </c>
      <c r="M91" s="38">
        <f>SUM(J91:L91)</f>
        <v>4350</v>
      </c>
      <c r="N91" s="67"/>
      <c r="O91" t="s">
        <v>178</v>
      </c>
      <c r="P91" t="s">
        <v>150</v>
      </c>
      <c r="Q91">
        <v>86</v>
      </c>
      <c r="R91">
        <v>12820</v>
      </c>
      <c r="S91">
        <v>66</v>
      </c>
      <c r="T91" t="s">
        <v>11</v>
      </c>
    </row>
    <row r="92" spans="1:20" x14ac:dyDescent="0.25">
      <c r="A92" s="37" t="s">
        <v>261</v>
      </c>
      <c r="B92" t="s">
        <v>262</v>
      </c>
      <c r="C92">
        <v>43</v>
      </c>
      <c r="D92" t="s">
        <v>11</v>
      </c>
      <c r="E92" t="s">
        <v>11</v>
      </c>
      <c r="F92" s="70"/>
      <c r="G92" s="3"/>
      <c r="H92" s="3"/>
      <c r="I92" s="38">
        <f>VLOOKUP(A92,$O$5:$R$279,4,0)</f>
        <v>335</v>
      </c>
      <c r="J92" s="70">
        <v>1025</v>
      </c>
      <c r="K92" s="3">
        <v>5</v>
      </c>
      <c r="L92" s="3">
        <v>1</v>
      </c>
      <c r="M92" s="38">
        <f>SUM(J92:L92)</f>
        <v>1031</v>
      </c>
      <c r="N92" s="67"/>
      <c r="O92" t="s">
        <v>292</v>
      </c>
      <c r="P92" t="s">
        <v>293</v>
      </c>
      <c r="Q92">
        <v>87</v>
      </c>
      <c r="R92">
        <v>341</v>
      </c>
      <c r="S92">
        <v>67</v>
      </c>
      <c r="T92" t="s">
        <v>11</v>
      </c>
    </row>
    <row r="93" spans="1:20" x14ac:dyDescent="0.25">
      <c r="A93" s="37" t="s">
        <v>263</v>
      </c>
      <c r="B93" t="s">
        <v>264</v>
      </c>
      <c r="C93">
        <v>44</v>
      </c>
      <c r="D93" t="s">
        <v>11</v>
      </c>
      <c r="E93" t="s">
        <v>11</v>
      </c>
      <c r="F93" s="70"/>
      <c r="G93" s="3"/>
      <c r="H93" s="3"/>
      <c r="I93" s="38">
        <f>VLOOKUP(A93,$O$5:$R$279,4,0)</f>
        <v>2660</v>
      </c>
      <c r="J93" s="70">
        <v>1355</v>
      </c>
      <c r="K93" s="3">
        <v>4</v>
      </c>
      <c r="L93" s="3">
        <v>0</v>
      </c>
      <c r="M93" s="38">
        <f>SUM(J93:L93)</f>
        <v>1359</v>
      </c>
      <c r="N93" s="67"/>
      <c r="O93" t="s">
        <v>294</v>
      </c>
      <c r="P93" t="s">
        <v>295</v>
      </c>
      <c r="Q93">
        <v>88</v>
      </c>
      <c r="R93">
        <v>381</v>
      </c>
      <c r="S93">
        <v>68</v>
      </c>
      <c r="T93" t="s">
        <v>11</v>
      </c>
    </row>
    <row r="94" spans="1:20" x14ac:dyDescent="0.25">
      <c r="A94" s="37" t="s">
        <v>265</v>
      </c>
      <c r="B94" t="s">
        <v>266</v>
      </c>
      <c r="C94">
        <v>45</v>
      </c>
      <c r="D94" t="s">
        <v>11</v>
      </c>
      <c r="E94" t="s">
        <v>11</v>
      </c>
      <c r="F94" s="70"/>
      <c r="G94" s="3"/>
      <c r="H94" s="3"/>
      <c r="I94" s="38">
        <f>VLOOKUP(A94,$O$5:$R$279,4,0)</f>
        <v>1926</v>
      </c>
      <c r="J94" s="70">
        <v>165</v>
      </c>
      <c r="K94" s="3">
        <v>1</v>
      </c>
      <c r="L94" s="3">
        <v>1</v>
      </c>
      <c r="M94" s="38">
        <f>SUM(J94:L94)</f>
        <v>167</v>
      </c>
      <c r="N94" s="67"/>
      <c r="O94" t="s">
        <v>296</v>
      </c>
      <c r="P94" t="s">
        <v>297</v>
      </c>
      <c r="Q94">
        <v>89</v>
      </c>
      <c r="R94">
        <v>2173</v>
      </c>
      <c r="S94">
        <v>69</v>
      </c>
      <c r="T94" t="s">
        <v>11</v>
      </c>
    </row>
    <row r="95" spans="1:20" x14ac:dyDescent="0.25">
      <c r="A95" s="37" t="s">
        <v>267</v>
      </c>
      <c r="B95" t="s">
        <v>268</v>
      </c>
      <c r="C95">
        <v>47</v>
      </c>
      <c r="D95" t="s">
        <v>11</v>
      </c>
      <c r="E95" t="s">
        <v>11</v>
      </c>
      <c r="F95" s="70"/>
      <c r="G95" s="3"/>
      <c r="H95" s="3"/>
      <c r="I95" s="38">
        <f>VLOOKUP(A95,$O$5:$R$279,4,0)</f>
        <v>4466</v>
      </c>
      <c r="J95" s="70">
        <v>6897</v>
      </c>
      <c r="K95" s="3">
        <v>34</v>
      </c>
      <c r="L95" s="3">
        <v>36</v>
      </c>
      <c r="M95" s="38">
        <f>SUM(J95:L95)</f>
        <v>6967</v>
      </c>
      <c r="N95" s="67"/>
      <c r="O95" t="s">
        <v>298</v>
      </c>
      <c r="P95" t="s">
        <v>299</v>
      </c>
      <c r="Q95">
        <v>90</v>
      </c>
      <c r="R95">
        <v>5274</v>
      </c>
      <c r="S95">
        <v>70</v>
      </c>
      <c r="T95" t="s">
        <v>11</v>
      </c>
    </row>
    <row r="96" spans="1:20" x14ac:dyDescent="0.25">
      <c r="A96" s="37" t="s">
        <v>269</v>
      </c>
      <c r="B96" t="s">
        <v>270</v>
      </c>
      <c r="C96">
        <v>50</v>
      </c>
      <c r="D96" t="s">
        <v>11</v>
      </c>
      <c r="E96" t="s">
        <v>11</v>
      </c>
      <c r="F96" s="70"/>
      <c r="G96" s="3"/>
      <c r="H96" s="3"/>
      <c r="I96" s="38">
        <f>VLOOKUP(A96,$O$5:$R$279,4,0)</f>
        <v>927</v>
      </c>
      <c r="J96" s="70">
        <v>2605</v>
      </c>
      <c r="K96" s="3">
        <v>26</v>
      </c>
      <c r="L96" s="3">
        <v>55</v>
      </c>
      <c r="M96" s="38">
        <f>SUM(J96:L96)</f>
        <v>2686</v>
      </c>
      <c r="N96" s="67"/>
      <c r="O96" t="s">
        <v>179</v>
      </c>
      <c r="P96" t="s">
        <v>180</v>
      </c>
      <c r="Q96">
        <v>91</v>
      </c>
      <c r="R96">
        <v>2463</v>
      </c>
      <c r="S96">
        <v>71</v>
      </c>
      <c r="T96" t="s">
        <v>11</v>
      </c>
    </row>
    <row r="97" spans="1:20" x14ac:dyDescent="0.25">
      <c r="A97" s="37" t="s">
        <v>271</v>
      </c>
      <c r="B97" t="s">
        <v>272</v>
      </c>
      <c r="C97">
        <v>51</v>
      </c>
      <c r="D97" t="s">
        <v>11</v>
      </c>
      <c r="E97" t="s">
        <v>11</v>
      </c>
      <c r="F97" s="70"/>
      <c r="G97" s="3"/>
      <c r="H97" s="3"/>
      <c r="I97" s="38">
        <f>VLOOKUP(A97,$O$5:$R$279,4,0)</f>
        <v>1296</v>
      </c>
      <c r="J97" s="70">
        <v>1951</v>
      </c>
      <c r="K97" s="3">
        <v>28</v>
      </c>
      <c r="L97" s="3">
        <v>60</v>
      </c>
      <c r="M97" s="38">
        <f>SUM(J97:L97)</f>
        <v>2039</v>
      </c>
      <c r="N97" s="67"/>
      <c r="O97" t="s">
        <v>183</v>
      </c>
      <c r="P97" t="s">
        <v>184</v>
      </c>
      <c r="Q97">
        <v>92</v>
      </c>
      <c r="R97">
        <v>2816</v>
      </c>
      <c r="S97">
        <v>73</v>
      </c>
      <c r="T97" t="s">
        <v>11</v>
      </c>
    </row>
    <row r="98" spans="1:20" x14ac:dyDescent="0.25">
      <c r="A98" s="37" t="s">
        <v>273</v>
      </c>
      <c r="B98" t="s">
        <v>274</v>
      </c>
      <c r="C98">
        <v>52</v>
      </c>
      <c r="D98" t="s">
        <v>11</v>
      </c>
      <c r="E98" t="s">
        <v>11</v>
      </c>
      <c r="F98" s="70"/>
      <c r="G98" s="3"/>
      <c r="H98" s="3"/>
      <c r="I98" s="38">
        <f>VLOOKUP(A98,$O$5:$R$279,4,0)</f>
        <v>334</v>
      </c>
      <c r="J98" s="70">
        <v>1054</v>
      </c>
      <c r="K98" s="3">
        <v>12</v>
      </c>
      <c r="L98" s="3">
        <v>24</v>
      </c>
      <c r="M98" s="38">
        <f>SUM(J98:L98)</f>
        <v>1090</v>
      </c>
      <c r="N98" s="67"/>
      <c r="O98" t="s">
        <v>300</v>
      </c>
      <c r="P98" t="s">
        <v>301</v>
      </c>
      <c r="Q98">
        <v>93</v>
      </c>
      <c r="R98">
        <v>1064</v>
      </c>
      <c r="S98">
        <v>74</v>
      </c>
      <c r="T98" t="s">
        <v>11</v>
      </c>
    </row>
    <row r="99" spans="1:20" x14ac:dyDescent="0.25">
      <c r="A99" s="37" t="s">
        <v>275</v>
      </c>
      <c r="B99" t="s">
        <v>276</v>
      </c>
      <c r="C99">
        <v>55</v>
      </c>
      <c r="D99" t="s">
        <v>11</v>
      </c>
      <c r="E99" t="s">
        <v>11</v>
      </c>
      <c r="F99" s="70"/>
      <c r="G99" s="3"/>
      <c r="H99" s="3"/>
      <c r="I99" s="38">
        <f>VLOOKUP(A99,$O$5:$R$279,4,0)</f>
        <v>80</v>
      </c>
      <c r="J99" s="70">
        <v>1075</v>
      </c>
      <c r="K99" s="3">
        <v>3</v>
      </c>
      <c r="L99" s="3">
        <v>1</v>
      </c>
      <c r="M99" s="38">
        <f>SUM(J99:L99)</f>
        <v>1079</v>
      </c>
      <c r="N99" s="67"/>
      <c r="O99" t="s">
        <v>302</v>
      </c>
      <c r="P99" t="s">
        <v>303</v>
      </c>
      <c r="Q99">
        <v>94</v>
      </c>
      <c r="R99">
        <v>970</v>
      </c>
      <c r="S99">
        <v>75</v>
      </c>
      <c r="T99" t="s">
        <v>11</v>
      </c>
    </row>
    <row r="100" spans="1:20" x14ac:dyDescent="0.25">
      <c r="A100" s="37" t="s">
        <v>277</v>
      </c>
      <c r="B100" t="s">
        <v>278</v>
      </c>
      <c r="C100">
        <v>59</v>
      </c>
      <c r="D100" t="s">
        <v>11</v>
      </c>
      <c r="E100" t="s">
        <v>11</v>
      </c>
      <c r="F100" s="70"/>
      <c r="G100" s="3"/>
      <c r="H100" s="3"/>
      <c r="I100" s="38">
        <f>VLOOKUP(A100,$O$5:$R$279,4,0)</f>
        <v>990</v>
      </c>
      <c r="J100" s="70">
        <v>1146</v>
      </c>
      <c r="K100" s="3">
        <v>33</v>
      </c>
      <c r="L100" s="3">
        <v>124</v>
      </c>
      <c r="M100" s="38">
        <f>SUM(J100:L100)</f>
        <v>1303</v>
      </c>
      <c r="N100" s="67"/>
      <c r="O100" t="s">
        <v>304</v>
      </c>
      <c r="P100" t="s">
        <v>305</v>
      </c>
      <c r="Q100">
        <v>82</v>
      </c>
      <c r="R100">
        <v>282</v>
      </c>
      <c r="S100">
        <v>76</v>
      </c>
      <c r="T100" t="s">
        <v>11</v>
      </c>
    </row>
    <row r="101" spans="1:20" x14ac:dyDescent="0.25">
      <c r="A101" s="37" t="s">
        <v>279</v>
      </c>
      <c r="B101" t="s">
        <v>280</v>
      </c>
      <c r="C101">
        <v>60</v>
      </c>
      <c r="D101" t="s">
        <v>11</v>
      </c>
      <c r="E101" t="s">
        <v>11</v>
      </c>
      <c r="F101" s="70"/>
      <c r="G101" s="3"/>
      <c r="H101" s="3"/>
      <c r="I101" s="38">
        <f>VLOOKUP(A101,$O$5:$R$279,4,0)</f>
        <v>971</v>
      </c>
      <c r="J101" s="70">
        <v>2004</v>
      </c>
      <c r="K101" s="3">
        <v>15</v>
      </c>
      <c r="L101" s="3">
        <v>41</v>
      </c>
      <c r="M101" s="38">
        <f>SUM(J101:L101)</f>
        <v>2060</v>
      </c>
      <c r="N101" s="67"/>
      <c r="O101" t="s">
        <v>187</v>
      </c>
      <c r="P101" t="s">
        <v>188</v>
      </c>
      <c r="Q101">
        <v>96</v>
      </c>
      <c r="R101">
        <v>4927</v>
      </c>
      <c r="S101">
        <v>77</v>
      </c>
      <c r="T101" t="s">
        <v>11</v>
      </c>
    </row>
    <row r="102" spans="1:20" x14ac:dyDescent="0.25">
      <c r="A102" s="37" t="s">
        <v>281</v>
      </c>
      <c r="B102" t="s">
        <v>282</v>
      </c>
      <c r="C102">
        <v>61</v>
      </c>
      <c r="D102" t="s">
        <v>11</v>
      </c>
      <c r="E102" t="s">
        <v>11</v>
      </c>
      <c r="F102" s="70"/>
      <c r="G102" s="3"/>
      <c r="H102" s="3"/>
      <c r="I102" s="38">
        <f>VLOOKUP(A102,$O$5:$R$279,4,0)</f>
        <v>388</v>
      </c>
      <c r="J102" s="70">
        <v>322</v>
      </c>
      <c r="K102" s="3">
        <v>16</v>
      </c>
      <c r="L102" s="3">
        <v>12</v>
      </c>
      <c r="M102" s="38">
        <f>SUM(J102:L102)</f>
        <v>350</v>
      </c>
      <c r="N102" s="67"/>
      <c r="O102" t="s">
        <v>306</v>
      </c>
      <c r="P102" t="s">
        <v>307</v>
      </c>
      <c r="Q102">
        <v>97</v>
      </c>
      <c r="R102">
        <v>1173</v>
      </c>
      <c r="S102">
        <v>78</v>
      </c>
      <c r="T102" t="s">
        <v>11</v>
      </c>
    </row>
    <row r="103" spans="1:20" x14ac:dyDescent="0.25">
      <c r="A103" s="37" t="s">
        <v>283</v>
      </c>
      <c r="B103" t="s">
        <v>284</v>
      </c>
      <c r="C103">
        <v>62</v>
      </c>
      <c r="D103" t="s">
        <v>11</v>
      </c>
      <c r="E103" t="s">
        <v>11</v>
      </c>
      <c r="F103" s="70"/>
      <c r="G103" s="3"/>
      <c r="H103" s="3"/>
      <c r="I103" s="38">
        <f>VLOOKUP(A103,$O$5:$R$279,4,0)</f>
        <v>745</v>
      </c>
      <c r="J103" s="70">
        <v>1255</v>
      </c>
      <c r="K103" s="3">
        <v>40</v>
      </c>
      <c r="L103" s="3">
        <v>6</v>
      </c>
      <c r="M103" s="38">
        <f>SUM(J103:L103)</f>
        <v>1301</v>
      </c>
      <c r="N103" s="67"/>
      <c r="O103" t="s">
        <v>308</v>
      </c>
      <c r="P103" t="s">
        <v>309</v>
      </c>
      <c r="Q103">
        <v>98</v>
      </c>
      <c r="R103">
        <v>645</v>
      </c>
      <c r="S103">
        <v>80</v>
      </c>
      <c r="T103" t="s">
        <v>11</v>
      </c>
    </row>
    <row r="104" spans="1:20" x14ac:dyDescent="0.25">
      <c r="A104" s="37" t="s">
        <v>285</v>
      </c>
      <c r="B104" t="s">
        <v>286</v>
      </c>
      <c r="C104">
        <v>627</v>
      </c>
      <c r="D104" t="s">
        <v>11</v>
      </c>
      <c r="E104" t="s">
        <v>11</v>
      </c>
      <c r="F104" s="70"/>
      <c r="G104" s="3"/>
      <c r="H104" s="3"/>
      <c r="I104" s="38">
        <f>VLOOKUP(A104,$O$5:$R$279,4,0)</f>
        <v>0</v>
      </c>
      <c r="J104" s="70">
        <v>0</v>
      </c>
      <c r="K104" s="3">
        <v>0</v>
      </c>
      <c r="L104" s="3">
        <v>0</v>
      </c>
      <c r="M104" s="38">
        <f>SUM(J104:L104)</f>
        <v>0</v>
      </c>
      <c r="N104" s="67"/>
      <c r="O104" t="s">
        <v>310</v>
      </c>
      <c r="P104" t="s">
        <v>674</v>
      </c>
      <c r="Q104">
        <v>99</v>
      </c>
      <c r="R104">
        <v>1139</v>
      </c>
      <c r="S104">
        <v>83</v>
      </c>
      <c r="T104" t="s">
        <v>11</v>
      </c>
    </row>
    <row r="105" spans="1:20" x14ac:dyDescent="0.25">
      <c r="A105" s="37" t="s">
        <v>287</v>
      </c>
      <c r="B105" t="s">
        <v>288</v>
      </c>
      <c r="C105">
        <v>64</v>
      </c>
      <c r="D105" t="s">
        <v>11</v>
      </c>
      <c r="E105" t="s">
        <v>11</v>
      </c>
      <c r="F105" s="70"/>
      <c r="G105" s="3"/>
      <c r="H105" s="3"/>
      <c r="I105" s="38">
        <f>VLOOKUP(A105,$O$5:$R$279,4,0)</f>
        <v>1488</v>
      </c>
      <c r="J105" s="70">
        <v>1871</v>
      </c>
      <c r="K105" s="3">
        <v>20</v>
      </c>
      <c r="L105" s="3">
        <v>16</v>
      </c>
      <c r="M105" s="38">
        <f>SUM(J105:L105)</f>
        <v>1907</v>
      </c>
      <c r="N105" s="67"/>
      <c r="O105" t="s">
        <v>312</v>
      </c>
      <c r="P105" t="s">
        <v>313</v>
      </c>
      <c r="Q105">
        <v>100</v>
      </c>
      <c r="R105">
        <v>195</v>
      </c>
      <c r="S105">
        <v>85</v>
      </c>
      <c r="T105" t="s">
        <v>11</v>
      </c>
    </row>
    <row r="106" spans="1:20" x14ac:dyDescent="0.25">
      <c r="A106" s="37" t="s">
        <v>290</v>
      </c>
      <c r="B106" t="s">
        <v>291</v>
      </c>
      <c r="C106">
        <v>65</v>
      </c>
      <c r="D106" t="s">
        <v>11</v>
      </c>
      <c r="E106" t="s">
        <v>11</v>
      </c>
      <c r="F106" s="70"/>
      <c r="G106" s="3"/>
      <c r="H106" s="3"/>
      <c r="I106" s="38">
        <f>VLOOKUP(A106,$O$5:$R$279,4,0)</f>
        <v>2531</v>
      </c>
      <c r="J106" s="70">
        <v>4546</v>
      </c>
      <c r="K106" s="3">
        <v>11</v>
      </c>
      <c r="L106" s="3">
        <v>80</v>
      </c>
      <c r="M106" s="38">
        <f>SUM(J106:L106)</f>
        <v>4637</v>
      </c>
      <c r="N106" s="67"/>
      <c r="O106" t="s">
        <v>314</v>
      </c>
      <c r="P106" t="s">
        <v>315</v>
      </c>
      <c r="Q106">
        <v>101</v>
      </c>
      <c r="R106">
        <v>5666</v>
      </c>
      <c r="S106">
        <v>86</v>
      </c>
      <c r="T106" t="s">
        <v>11</v>
      </c>
    </row>
    <row r="107" spans="1:20" x14ac:dyDescent="0.25">
      <c r="A107" s="37" t="s">
        <v>292</v>
      </c>
      <c r="B107" t="s">
        <v>293</v>
      </c>
      <c r="C107">
        <v>67</v>
      </c>
      <c r="D107" t="s">
        <v>11</v>
      </c>
      <c r="E107" t="s">
        <v>11</v>
      </c>
      <c r="F107" s="70"/>
      <c r="G107" s="3"/>
      <c r="H107" s="3"/>
      <c r="I107" s="38">
        <f>VLOOKUP(A107,$O$5:$R$279,4,0)</f>
        <v>341</v>
      </c>
      <c r="J107" s="70">
        <v>407</v>
      </c>
      <c r="K107" s="3">
        <v>3</v>
      </c>
      <c r="L107" s="3">
        <v>5</v>
      </c>
      <c r="M107" s="38">
        <f>SUM(J107:L107)</f>
        <v>415</v>
      </c>
      <c r="N107" s="67"/>
      <c r="O107" t="s">
        <v>316</v>
      </c>
      <c r="P107" t="s">
        <v>317</v>
      </c>
      <c r="Q107">
        <v>102</v>
      </c>
      <c r="R107">
        <v>2394</v>
      </c>
      <c r="S107">
        <v>87</v>
      </c>
      <c r="T107" t="s">
        <v>11</v>
      </c>
    </row>
    <row r="108" spans="1:20" x14ac:dyDescent="0.25">
      <c r="A108" s="37" t="s">
        <v>294</v>
      </c>
      <c r="B108" t="s">
        <v>295</v>
      </c>
      <c r="C108">
        <v>68</v>
      </c>
      <c r="D108" t="s">
        <v>11</v>
      </c>
      <c r="E108" t="s">
        <v>11</v>
      </c>
      <c r="F108" s="70"/>
      <c r="G108" s="3"/>
      <c r="H108" s="3"/>
      <c r="I108" s="38">
        <f>VLOOKUP(A108,$O$5:$R$279,4,0)</f>
        <v>381</v>
      </c>
      <c r="J108" s="70">
        <v>567</v>
      </c>
      <c r="K108" s="3">
        <v>1</v>
      </c>
      <c r="L108" s="3">
        <v>12</v>
      </c>
      <c r="M108" s="38">
        <f>SUM(J108:L108)</f>
        <v>580</v>
      </c>
      <c r="N108" s="67"/>
      <c r="O108" t="s">
        <v>318</v>
      </c>
      <c r="P108" t="s">
        <v>319</v>
      </c>
      <c r="Q108">
        <v>103</v>
      </c>
      <c r="R108">
        <v>1817</v>
      </c>
      <c r="S108">
        <v>88</v>
      </c>
      <c r="T108" t="s">
        <v>11</v>
      </c>
    </row>
    <row r="109" spans="1:20" x14ac:dyDescent="0.25">
      <c r="A109" s="37" t="s">
        <v>296</v>
      </c>
      <c r="B109" t="s">
        <v>297</v>
      </c>
      <c r="C109">
        <v>69</v>
      </c>
      <c r="D109" t="s">
        <v>11</v>
      </c>
      <c r="E109" t="s">
        <v>11</v>
      </c>
      <c r="F109" s="70"/>
      <c r="G109" s="3"/>
      <c r="H109" s="3"/>
      <c r="I109" s="38">
        <f>VLOOKUP(A109,$O$5:$R$279,4,0)</f>
        <v>2173</v>
      </c>
      <c r="J109" s="70">
        <v>2195</v>
      </c>
      <c r="K109" s="3">
        <v>8</v>
      </c>
      <c r="L109" s="3">
        <v>9</v>
      </c>
      <c r="M109" s="38">
        <f>SUM(J109:L109)</f>
        <v>2212</v>
      </c>
      <c r="N109" s="67"/>
      <c r="O109" t="s">
        <v>320</v>
      </c>
      <c r="P109" t="s">
        <v>321</v>
      </c>
      <c r="Q109">
        <v>104</v>
      </c>
      <c r="R109">
        <v>2151</v>
      </c>
      <c r="S109">
        <v>89</v>
      </c>
      <c r="T109" t="s">
        <v>11</v>
      </c>
    </row>
    <row r="110" spans="1:20" x14ac:dyDescent="0.25">
      <c r="A110" s="37" t="s">
        <v>298</v>
      </c>
      <c r="B110" t="s">
        <v>299</v>
      </c>
      <c r="C110">
        <v>70</v>
      </c>
      <c r="D110" t="s">
        <v>11</v>
      </c>
      <c r="E110" t="s">
        <v>11</v>
      </c>
      <c r="F110" s="70"/>
      <c r="G110" s="3"/>
      <c r="H110" s="3"/>
      <c r="I110" s="38">
        <f>VLOOKUP(A110,$O$5:$R$279,4,0)</f>
        <v>5274</v>
      </c>
      <c r="J110" s="70">
        <v>9354</v>
      </c>
      <c r="K110" s="3">
        <v>117</v>
      </c>
      <c r="L110" s="3">
        <v>303</v>
      </c>
      <c r="M110" s="38">
        <f>SUM(J110:L110)</f>
        <v>9774</v>
      </c>
      <c r="N110" s="67"/>
      <c r="O110" t="s">
        <v>322</v>
      </c>
      <c r="P110" t="s">
        <v>323</v>
      </c>
      <c r="Q110">
        <v>105</v>
      </c>
      <c r="R110">
        <v>0</v>
      </c>
      <c r="S110">
        <v>8993</v>
      </c>
      <c r="T110" t="s">
        <v>11</v>
      </c>
    </row>
    <row r="111" spans="1:20" x14ac:dyDescent="0.25">
      <c r="A111" s="37" t="s">
        <v>300</v>
      </c>
      <c r="B111" t="s">
        <v>301</v>
      </c>
      <c r="C111">
        <v>74</v>
      </c>
      <c r="D111" t="s">
        <v>11</v>
      </c>
      <c r="E111" t="s">
        <v>11</v>
      </c>
      <c r="F111" s="70"/>
      <c r="G111" s="3"/>
      <c r="H111" s="3"/>
      <c r="I111" s="38">
        <f>VLOOKUP(A111,$O$5:$R$279,4,0)</f>
        <v>1064</v>
      </c>
      <c r="J111" s="70">
        <v>1832</v>
      </c>
      <c r="K111" s="3">
        <v>15</v>
      </c>
      <c r="L111" s="3">
        <v>80</v>
      </c>
      <c r="M111" s="38">
        <f>SUM(J111:L111)</f>
        <v>1927</v>
      </c>
      <c r="N111" s="67"/>
      <c r="O111" t="s">
        <v>324</v>
      </c>
      <c r="P111" t="s">
        <v>325</v>
      </c>
      <c r="Q111">
        <v>106</v>
      </c>
      <c r="R111">
        <v>663</v>
      </c>
      <c r="S111">
        <v>90</v>
      </c>
      <c r="T111" t="s">
        <v>11</v>
      </c>
    </row>
    <row r="112" spans="1:20" x14ac:dyDescent="0.25">
      <c r="A112" s="37" t="s">
        <v>302</v>
      </c>
      <c r="B112" t="s">
        <v>303</v>
      </c>
      <c r="C112">
        <v>75</v>
      </c>
      <c r="D112" t="s">
        <v>11</v>
      </c>
      <c r="E112" t="s">
        <v>11</v>
      </c>
      <c r="F112" s="70"/>
      <c r="G112" s="3"/>
      <c r="H112" s="3"/>
      <c r="I112" s="38">
        <f>VLOOKUP(A112,$O$5:$R$279,4,0)</f>
        <v>970</v>
      </c>
      <c r="J112" s="70">
        <v>1201</v>
      </c>
      <c r="K112" s="3">
        <v>13</v>
      </c>
      <c r="L112" s="3">
        <v>100</v>
      </c>
      <c r="M112" s="38">
        <f>SUM(J112:L112)</f>
        <v>1314</v>
      </c>
      <c r="N112" s="67"/>
      <c r="O112" t="s">
        <v>326</v>
      </c>
      <c r="P112" t="s">
        <v>675</v>
      </c>
      <c r="Q112">
        <v>107</v>
      </c>
      <c r="R112">
        <v>863</v>
      </c>
      <c r="S112">
        <v>91</v>
      </c>
      <c r="T112" t="s">
        <v>11</v>
      </c>
    </row>
    <row r="113" spans="1:20" x14ac:dyDescent="0.25">
      <c r="A113" s="37" t="s">
        <v>304</v>
      </c>
      <c r="B113" t="s">
        <v>305</v>
      </c>
      <c r="C113">
        <v>76</v>
      </c>
      <c r="D113" t="s">
        <v>11</v>
      </c>
      <c r="E113" t="s">
        <v>11</v>
      </c>
      <c r="F113" s="70"/>
      <c r="G113" s="3"/>
      <c r="H113" s="3"/>
      <c r="I113" s="38">
        <f>VLOOKUP(A113,$O$5:$R$279,4,0)</f>
        <v>282</v>
      </c>
      <c r="J113" s="70">
        <v>649</v>
      </c>
      <c r="K113" s="3">
        <v>15</v>
      </c>
      <c r="L113" s="3">
        <v>7</v>
      </c>
      <c r="M113" s="38">
        <f>SUM(J113:L113)</f>
        <v>671</v>
      </c>
      <c r="N113" s="67"/>
      <c r="O113" t="s">
        <v>328</v>
      </c>
      <c r="P113" t="s">
        <v>329</v>
      </c>
      <c r="Q113">
        <v>108</v>
      </c>
      <c r="R113">
        <v>611</v>
      </c>
      <c r="S113">
        <v>92</v>
      </c>
      <c r="T113" t="s">
        <v>11</v>
      </c>
    </row>
    <row r="114" spans="1:20" x14ac:dyDescent="0.25">
      <c r="A114" s="37" t="s">
        <v>306</v>
      </c>
      <c r="B114" t="s">
        <v>307</v>
      </c>
      <c r="C114">
        <v>78</v>
      </c>
      <c r="D114" t="s">
        <v>11</v>
      </c>
      <c r="E114" t="s">
        <v>11</v>
      </c>
      <c r="F114" s="70"/>
      <c r="G114" s="3"/>
      <c r="H114" s="3"/>
      <c r="I114" s="38">
        <f>VLOOKUP(A114,$O$5:$R$279,4,0)</f>
        <v>1173</v>
      </c>
      <c r="J114" s="70">
        <v>1897</v>
      </c>
      <c r="K114" s="3">
        <v>20</v>
      </c>
      <c r="L114" s="3">
        <v>44</v>
      </c>
      <c r="M114" s="38">
        <f>SUM(J114:L114)</f>
        <v>1961</v>
      </c>
      <c r="N114" s="67"/>
      <c r="O114" t="s">
        <v>330</v>
      </c>
      <c r="P114" t="s">
        <v>331</v>
      </c>
      <c r="Q114">
        <v>109</v>
      </c>
      <c r="R114">
        <v>2136</v>
      </c>
      <c r="S114">
        <v>93</v>
      </c>
      <c r="T114" t="s">
        <v>11</v>
      </c>
    </row>
    <row r="115" spans="1:20" x14ac:dyDescent="0.25">
      <c r="A115" s="37" t="s">
        <v>308</v>
      </c>
      <c r="B115" t="s">
        <v>309</v>
      </c>
      <c r="C115">
        <v>80</v>
      </c>
      <c r="D115" t="s">
        <v>11</v>
      </c>
      <c r="E115" t="s">
        <v>11</v>
      </c>
      <c r="F115" s="70"/>
      <c r="G115" s="3"/>
      <c r="H115" s="3"/>
      <c r="I115" s="38">
        <f>VLOOKUP(A115,$O$5:$R$279,4,0)</f>
        <v>645</v>
      </c>
      <c r="J115" s="70">
        <v>2173</v>
      </c>
      <c r="K115" s="3">
        <v>46</v>
      </c>
      <c r="L115" s="3">
        <v>84</v>
      </c>
      <c r="M115" s="38">
        <f>SUM(J115:L115)</f>
        <v>2303</v>
      </c>
      <c r="N115" s="67"/>
      <c r="O115" t="s">
        <v>332</v>
      </c>
      <c r="P115" t="s">
        <v>333</v>
      </c>
      <c r="Q115">
        <v>110</v>
      </c>
      <c r="R115">
        <v>787</v>
      </c>
      <c r="S115">
        <v>94</v>
      </c>
      <c r="T115" t="s">
        <v>11</v>
      </c>
    </row>
    <row r="116" spans="1:20" x14ac:dyDescent="0.25">
      <c r="A116" s="37" t="s">
        <v>310</v>
      </c>
      <c r="B116" t="s">
        <v>311</v>
      </c>
      <c r="C116">
        <v>83</v>
      </c>
      <c r="D116" t="s">
        <v>11</v>
      </c>
      <c r="E116" t="s">
        <v>11</v>
      </c>
      <c r="F116" s="70"/>
      <c r="G116" s="3"/>
      <c r="H116" s="3"/>
      <c r="I116" s="38">
        <f>VLOOKUP(A116,$O$5:$R$279,4,0)</f>
        <v>1139</v>
      </c>
      <c r="J116" s="70">
        <v>1981</v>
      </c>
      <c r="K116" s="3">
        <v>6</v>
      </c>
      <c r="L116" s="3">
        <v>20</v>
      </c>
      <c r="M116" s="38">
        <f>SUM(J116:L116)</f>
        <v>2007</v>
      </c>
      <c r="N116" s="67"/>
      <c r="O116" t="s">
        <v>334</v>
      </c>
      <c r="P116" t="s">
        <v>335</v>
      </c>
      <c r="Q116">
        <v>111</v>
      </c>
      <c r="R116">
        <v>1299</v>
      </c>
      <c r="S116">
        <v>95</v>
      </c>
      <c r="T116" t="s">
        <v>11</v>
      </c>
    </row>
    <row r="117" spans="1:20" x14ac:dyDescent="0.25">
      <c r="A117" s="37" t="s">
        <v>312</v>
      </c>
      <c r="B117" t="s">
        <v>313</v>
      </c>
      <c r="C117">
        <v>85</v>
      </c>
      <c r="D117" t="s">
        <v>11</v>
      </c>
      <c r="E117" t="s">
        <v>11</v>
      </c>
      <c r="F117" s="70"/>
      <c r="G117" s="3"/>
      <c r="H117" s="3"/>
      <c r="I117" s="38">
        <f>VLOOKUP(A117,$O$5:$R$279,4,0)</f>
        <v>195</v>
      </c>
      <c r="J117" s="70">
        <v>2413</v>
      </c>
      <c r="K117" s="3">
        <v>17</v>
      </c>
      <c r="L117" s="3">
        <v>96</v>
      </c>
      <c r="M117" s="38">
        <f>SUM(J117:L117)</f>
        <v>2526</v>
      </c>
      <c r="N117" s="67"/>
      <c r="O117" t="s">
        <v>336</v>
      </c>
      <c r="P117" t="s">
        <v>337</v>
      </c>
      <c r="Q117">
        <v>112</v>
      </c>
      <c r="R117">
        <v>975</v>
      </c>
      <c r="S117">
        <v>96</v>
      </c>
      <c r="T117" t="s">
        <v>11</v>
      </c>
    </row>
    <row r="118" spans="1:20" x14ac:dyDescent="0.25">
      <c r="A118" s="37" t="s">
        <v>314</v>
      </c>
      <c r="B118" t="s">
        <v>315</v>
      </c>
      <c r="C118">
        <v>86</v>
      </c>
      <c r="D118" t="s">
        <v>11</v>
      </c>
      <c r="E118" t="s">
        <v>11</v>
      </c>
      <c r="F118" s="70"/>
      <c r="G118" s="3"/>
      <c r="H118" s="3"/>
      <c r="I118" s="38">
        <f>VLOOKUP(A118,$O$5:$R$279,4,0)</f>
        <v>5666</v>
      </c>
      <c r="J118" s="70">
        <v>3468</v>
      </c>
      <c r="K118" s="3">
        <v>30</v>
      </c>
      <c r="L118" s="3">
        <v>120</v>
      </c>
      <c r="M118" s="38">
        <f>SUM(J118:L118)</f>
        <v>3618</v>
      </c>
      <c r="N118" s="67"/>
      <c r="O118" t="s">
        <v>338</v>
      </c>
      <c r="P118" t="s">
        <v>339</v>
      </c>
      <c r="Q118">
        <v>113</v>
      </c>
      <c r="R118">
        <v>676</v>
      </c>
      <c r="S118">
        <v>97</v>
      </c>
      <c r="T118" t="s">
        <v>11</v>
      </c>
    </row>
    <row r="119" spans="1:20" x14ac:dyDescent="0.25">
      <c r="A119" s="37" t="s">
        <v>316</v>
      </c>
      <c r="B119" t="s">
        <v>317</v>
      </c>
      <c r="C119">
        <v>87</v>
      </c>
      <c r="D119" t="s">
        <v>11</v>
      </c>
      <c r="E119" t="s">
        <v>11</v>
      </c>
      <c r="F119" s="70"/>
      <c r="G119" s="3"/>
      <c r="H119" s="3"/>
      <c r="I119" s="38">
        <f>VLOOKUP(A119,$O$5:$R$279,4,0)</f>
        <v>2394</v>
      </c>
      <c r="J119" s="70">
        <v>2201</v>
      </c>
      <c r="K119" s="3">
        <v>6</v>
      </c>
      <c r="L119" s="3">
        <v>9</v>
      </c>
      <c r="M119" s="38">
        <f>SUM(J119:L119)</f>
        <v>2216</v>
      </c>
      <c r="N119" s="67"/>
      <c r="O119" t="s">
        <v>340</v>
      </c>
      <c r="P119" t="s">
        <v>341</v>
      </c>
      <c r="Q119">
        <v>114</v>
      </c>
      <c r="R119">
        <v>729</v>
      </c>
      <c r="S119">
        <v>99</v>
      </c>
      <c r="T119" t="s">
        <v>11</v>
      </c>
    </row>
    <row r="120" spans="1:20" x14ac:dyDescent="0.25">
      <c r="A120" s="37" t="s">
        <v>318</v>
      </c>
      <c r="B120" t="s">
        <v>319</v>
      </c>
      <c r="C120">
        <v>88</v>
      </c>
      <c r="D120" t="s">
        <v>11</v>
      </c>
      <c r="E120" t="s">
        <v>11</v>
      </c>
      <c r="F120" s="70"/>
      <c r="G120" s="3"/>
      <c r="H120" s="3"/>
      <c r="I120" s="38">
        <f>VLOOKUP(A120,$O$5:$R$279,4,0)</f>
        <v>1817</v>
      </c>
      <c r="J120" s="70">
        <v>0</v>
      </c>
      <c r="K120" s="3">
        <v>0</v>
      </c>
      <c r="L120" s="3">
        <v>0</v>
      </c>
      <c r="M120" s="38">
        <f>SUM(J120:L120)</f>
        <v>0</v>
      </c>
      <c r="N120" s="67"/>
      <c r="O120" t="s">
        <v>342</v>
      </c>
      <c r="P120" t="s">
        <v>343</v>
      </c>
      <c r="Q120">
        <v>115</v>
      </c>
      <c r="R120">
        <v>667</v>
      </c>
      <c r="S120">
        <v>100</v>
      </c>
      <c r="T120" t="s">
        <v>11</v>
      </c>
    </row>
    <row r="121" spans="1:20" x14ac:dyDescent="0.25">
      <c r="A121" s="37" t="s">
        <v>320</v>
      </c>
      <c r="B121" t="s">
        <v>321</v>
      </c>
      <c r="C121">
        <v>89</v>
      </c>
      <c r="D121" t="s">
        <v>11</v>
      </c>
      <c r="E121" t="s">
        <v>11</v>
      </c>
      <c r="F121" s="70"/>
      <c r="G121" s="3"/>
      <c r="H121" s="3"/>
      <c r="I121" s="38">
        <f>VLOOKUP(A121,$O$5:$R$279,4,0)</f>
        <v>2151</v>
      </c>
      <c r="J121" s="70">
        <v>1099</v>
      </c>
      <c r="K121" s="3">
        <v>4</v>
      </c>
      <c r="L121" s="3">
        <v>5</v>
      </c>
      <c r="M121" s="38">
        <f>SUM(J121:L121)</f>
        <v>1108</v>
      </c>
      <c r="N121" s="67"/>
      <c r="O121" t="s">
        <v>344</v>
      </c>
      <c r="P121" t="s">
        <v>345</v>
      </c>
      <c r="Q121">
        <v>116</v>
      </c>
      <c r="R121">
        <v>2736</v>
      </c>
      <c r="S121">
        <v>101</v>
      </c>
      <c r="T121" t="s">
        <v>11</v>
      </c>
    </row>
    <row r="122" spans="1:20" x14ac:dyDescent="0.25">
      <c r="A122" s="37" t="s">
        <v>322</v>
      </c>
      <c r="B122" t="s">
        <v>323</v>
      </c>
      <c r="C122">
        <v>8993</v>
      </c>
      <c r="D122" t="s">
        <v>11</v>
      </c>
      <c r="E122" t="s">
        <v>11</v>
      </c>
      <c r="F122" s="70"/>
      <c r="G122" s="3"/>
      <c r="H122" s="3"/>
      <c r="I122" s="38">
        <f>VLOOKUP(A122,$O$5:$R$279,4,0)</f>
        <v>0</v>
      </c>
      <c r="J122" s="70">
        <v>0</v>
      </c>
      <c r="K122" s="3">
        <v>0</v>
      </c>
      <c r="L122" s="3">
        <v>0</v>
      </c>
      <c r="M122" s="38">
        <f>SUM(J122:L122)</f>
        <v>0</v>
      </c>
      <c r="N122" s="67"/>
      <c r="O122" t="s">
        <v>346</v>
      </c>
      <c r="P122" t="s">
        <v>347</v>
      </c>
      <c r="Q122">
        <v>117</v>
      </c>
      <c r="R122">
        <v>4279</v>
      </c>
      <c r="S122">
        <v>104</v>
      </c>
      <c r="T122" t="s">
        <v>11</v>
      </c>
    </row>
    <row r="123" spans="1:20" x14ac:dyDescent="0.25">
      <c r="A123" s="37" t="s">
        <v>324</v>
      </c>
      <c r="B123" t="s">
        <v>325</v>
      </c>
      <c r="C123">
        <v>90</v>
      </c>
      <c r="D123" t="s">
        <v>11</v>
      </c>
      <c r="E123" t="s">
        <v>11</v>
      </c>
      <c r="F123" s="70"/>
      <c r="G123" s="3"/>
      <c r="H123" s="3"/>
      <c r="I123" s="38">
        <f>VLOOKUP(A123,$O$5:$R$279,4,0)</f>
        <v>663</v>
      </c>
      <c r="J123" s="70">
        <v>3247</v>
      </c>
      <c r="K123" s="3">
        <v>18</v>
      </c>
      <c r="L123" s="3">
        <v>7</v>
      </c>
      <c r="M123" s="38">
        <f>SUM(J123:L123)</f>
        <v>3272</v>
      </c>
      <c r="N123" s="67"/>
      <c r="O123" t="s">
        <v>348</v>
      </c>
      <c r="P123" t="s">
        <v>349</v>
      </c>
      <c r="Q123">
        <v>118</v>
      </c>
      <c r="R123">
        <v>852</v>
      </c>
      <c r="S123">
        <v>105</v>
      </c>
      <c r="T123" t="s">
        <v>11</v>
      </c>
    </row>
    <row r="124" spans="1:20" x14ac:dyDescent="0.25">
      <c r="A124" s="37" t="s">
        <v>326</v>
      </c>
      <c r="B124" t="s">
        <v>327</v>
      </c>
      <c r="C124">
        <v>91</v>
      </c>
      <c r="D124" t="s">
        <v>11</v>
      </c>
      <c r="E124" t="s">
        <v>11</v>
      </c>
      <c r="F124" s="70"/>
      <c r="G124" s="3"/>
      <c r="H124" s="3"/>
      <c r="I124" s="38">
        <f>VLOOKUP(A124,$O$5:$R$279,4,0)</f>
        <v>863</v>
      </c>
      <c r="J124" s="70">
        <v>0</v>
      </c>
      <c r="K124" s="3">
        <v>0</v>
      </c>
      <c r="L124" s="3">
        <v>0</v>
      </c>
      <c r="M124" s="38">
        <f>SUM(J124:L124)</f>
        <v>0</v>
      </c>
      <c r="N124" s="67"/>
      <c r="O124" t="s">
        <v>350</v>
      </c>
      <c r="P124" t="s">
        <v>351</v>
      </c>
      <c r="Q124">
        <v>119</v>
      </c>
      <c r="R124">
        <v>1964</v>
      </c>
      <c r="S124">
        <v>106</v>
      </c>
      <c r="T124" t="s">
        <v>11</v>
      </c>
    </row>
    <row r="125" spans="1:20" x14ac:dyDescent="0.25">
      <c r="A125" s="37" t="s">
        <v>328</v>
      </c>
      <c r="B125" t="s">
        <v>329</v>
      </c>
      <c r="C125">
        <v>92</v>
      </c>
      <c r="D125" t="s">
        <v>11</v>
      </c>
      <c r="E125" t="s">
        <v>11</v>
      </c>
      <c r="F125" s="70"/>
      <c r="G125" s="3"/>
      <c r="H125" s="3"/>
      <c r="I125" s="38">
        <f>VLOOKUP(A125,$O$5:$R$279,4,0)</f>
        <v>611</v>
      </c>
      <c r="J125" s="70">
        <v>0</v>
      </c>
      <c r="K125" s="3">
        <v>0</v>
      </c>
      <c r="L125" s="3">
        <v>0</v>
      </c>
      <c r="M125" s="38">
        <f>SUM(J125:L125)</f>
        <v>0</v>
      </c>
      <c r="N125" s="67"/>
      <c r="O125" t="s">
        <v>352</v>
      </c>
      <c r="P125" t="s">
        <v>353</v>
      </c>
      <c r="Q125">
        <v>120</v>
      </c>
      <c r="R125">
        <v>2423</v>
      </c>
      <c r="S125">
        <v>108</v>
      </c>
      <c r="T125" t="s">
        <v>11</v>
      </c>
    </row>
    <row r="126" spans="1:20" x14ac:dyDescent="0.25">
      <c r="A126" s="37" t="s">
        <v>330</v>
      </c>
      <c r="B126" t="s">
        <v>331</v>
      </c>
      <c r="C126">
        <v>93</v>
      </c>
      <c r="D126" t="s">
        <v>11</v>
      </c>
      <c r="E126" t="s">
        <v>11</v>
      </c>
      <c r="F126" s="70"/>
      <c r="G126" s="3"/>
      <c r="H126" s="3"/>
      <c r="I126" s="38">
        <f>VLOOKUP(A126,$O$5:$R$279,4,0)</f>
        <v>2136</v>
      </c>
      <c r="J126" s="70">
        <v>0</v>
      </c>
      <c r="K126" s="3">
        <v>0</v>
      </c>
      <c r="L126" s="3">
        <v>0</v>
      </c>
      <c r="M126" s="38">
        <f>SUM(J126:L126)</f>
        <v>0</v>
      </c>
      <c r="N126" s="67"/>
      <c r="O126" t="s">
        <v>354</v>
      </c>
      <c r="P126" t="s">
        <v>355</v>
      </c>
      <c r="Q126">
        <v>121</v>
      </c>
      <c r="R126">
        <v>3478</v>
      </c>
      <c r="S126">
        <v>109</v>
      </c>
      <c r="T126" t="s">
        <v>11</v>
      </c>
    </row>
    <row r="127" spans="1:20" x14ac:dyDescent="0.25">
      <c r="A127" s="37" t="s">
        <v>332</v>
      </c>
      <c r="B127" t="s">
        <v>333</v>
      </c>
      <c r="C127">
        <v>94</v>
      </c>
      <c r="D127" t="s">
        <v>11</v>
      </c>
      <c r="E127" t="s">
        <v>11</v>
      </c>
      <c r="F127" s="70"/>
      <c r="G127" s="3"/>
      <c r="H127" s="3"/>
      <c r="I127" s="38">
        <f>VLOOKUP(A127,$O$5:$R$279,4,0)</f>
        <v>787</v>
      </c>
      <c r="J127" s="70">
        <v>0</v>
      </c>
      <c r="K127" s="3">
        <v>0</v>
      </c>
      <c r="L127" s="3">
        <v>0</v>
      </c>
      <c r="M127" s="38">
        <f>SUM(J127:L127)</f>
        <v>0</v>
      </c>
      <c r="N127" s="67"/>
      <c r="O127" t="s">
        <v>356</v>
      </c>
      <c r="P127" t="s">
        <v>357</v>
      </c>
      <c r="Q127">
        <v>122</v>
      </c>
      <c r="R127">
        <v>3275</v>
      </c>
      <c r="S127">
        <v>110</v>
      </c>
      <c r="T127" t="s">
        <v>11</v>
      </c>
    </row>
    <row r="128" spans="1:20" x14ac:dyDescent="0.25">
      <c r="A128" s="37" t="s">
        <v>334</v>
      </c>
      <c r="B128" t="s">
        <v>335</v>
      </c>
      <c r="C128">
        <v>95</v>
      </c>
      <c r="D128" t="s">
        <v>11</v>
      </c>
      <c r="E128" t="s">
        <v>11</v>
      </c>
      <c r="F128" s="70"/>
      <c r="G128" s="3"/>
      <c r="H128" s="3"/>
      <c r="I128" s="38">
        <f>VLOOKUP(A128,$O$5:$R$279,4,0)</f>
        <v>1299</v>
      </c>
      <c r="J128" s="70">
        <v>2540</v>
      </c>
      <c r="K128" s="3">
        <v>36</v>
      </c>
      <c r="L128" s="3">
        <v>260</v>
      </c>
      <c r="M128" s="38">
        <f>SUM(J128:L128)</f>
        <v>2836</v>
      </c>
      <c r="N128" s="67"/>
      <c r="O128" t="s">
        <v>191</v>
      </c>
      <c r="P128" t="s">
        <v>192</v>
      </c>
      <c r="Q128">
        <v>123</v>
      </c>
      <c r="R128">
        <v>10101</v>
      </c>
      <c r="S128">
        <v>111</v>
      </c>
      <c r="T128" t="s">
        <v>11</v>
      </c>
    </row>
    <row r="129" spans="1:21" x14ac:dyDescent="0.25">
      <c r="A129" s="37" t="s">
        <v>336</v>
      </c>
      <c r="B129" t="s">
        <v>337</v>
      </c>
      <c r="C129">
        <v>96</v>
      </c>
      <c r="D129" t="s">
        <v>11</v>
      </c>
      <c r="E129" t="s">
        <v>11</v>
      </c>
      <c r="F129" s="70"/>
      <c r="G129" s="3"/>
      <c r="H129" s="3"/>
      <c r="I129" s="38">
        <f>VLOOKUP(A129,$O$5:$R$279,4,0)</f>
        <v>975</v>
      </c>
      <c r="J129" s="70">
        <v>4716</v>
      </c>
      <c r="K129" s="3">
        <v>36</v>
      </c>
      <c r="L129" s="3">
        <v>87</v>
      </c>
      <c r="M129" s="38">
        <f>SUM(J129:L129)</f>
        <v>4839</v>
      </c>
      <c r="N129" s="67"/>
      <c r="O129" t="s">
        <v>358</v>
      </c>
      <c r="P129" t="s">
        <v>359</v>
      </c>
      <c r="Q129">
        <v>124</v>
      </c>
      <c r="R129">
        <v>1135</v>
      </c>
      <c r="S129">
        <v>112</v>
      </c>
      <c r="T129" t="s">
        <v>11</v>
      </c>
    </row>
    <row r="130" spans="1:21" x14ac:dyDescent="0.25">
      <c r="A130" s="37" t="s">
        <v>338</v>
      </c>
      <c r="B130" t="s">
        <v>339</v>
      </c>
      <c r="C130">
        <v>97</v>
      </c>
      <c r="D130" t="s">
        <v>11</v>
      </c>
      <c r="E130" t="s">
        <v>11</v>
      </c>
      <c r="F130" s="70"/>
      <c r="G130" s="3"/>
      <c r="H130" s="3"/>
      <c r="I130" s="38">
        <f>VLOOKUP(A130,$O$5:$R$279,4,0)</f>
        <v>676</v>
      </c>
      <c r="J130" s="70">
        <v>0</v>
      </c>
      <c r="K130" s="3">
        <v>0</v>
      </c>
      <c r="L130" s="3">
        <v>0</v>
      </c>
      <c r="M130" s="38">
        <f>SUM(J130:L130)</f>
        <v>0</v>
      </c>
      <c r="N130" s="67"/>
      <c r="O130" t="s">
        <v>360</v>
      </c>
      <c r="P130" t="s">
        <v>361</v>
      </c>
      <c r="Q130">
        <v>125</v>
      </c>
      <c r="R130">
        <v>359</v>
      </c>
      <c r="S130">
        <v>114</v>
      </c>
      <c r="T130" t="s">
        <v>11</v>
      </c>
    </row>
    <row r="131" spans="1:21" x14ac:dyDescent="0.25">
      <c r="A131" s="37" t="s">
        <v>340</v>
      </c>
      <c r="B131" t="s">
        <v>341</v>
      </c>
      <c r="C131">
        <v>99</v>
      </c>
      <c r="D131" t="s">
        <v>11</v>
      </c>
      <c r="E131" t="s">
        <v>11</v>
      </c>
      <c r="F131" s="70"/>
      <c r="G131" s="3"/>
      <c r="H131" s="3"/>
      <c r="I131" s="38">
        <f>VLOOKUP(A131,$O$5:$R$279,4,0)</f>
        <v>729</v>
      </c>
      <c r="J131" s="70">
        <v>1438</v>
      </c>
      <c r="K131" s="3">
        <v>11</v>
      </c>
      <c r="L131" s="3">
        <v>9</v>
      </c>
      <c r="M131" s="38">
        <f>SUM(J131:L131)</f>
        <v>1458</v>
      </c>
      <c r="N131" s="67"/>
      <c r="O131" t="s">
        <v>195</v>
      </c>
      <c r="P131" t="s">
        <v>196</v>
      </c>
      <c r="Q131">
        <v>126</v>
      </c>
      <c r="R131">
        <v>6908</v>
      </c>
      <c r="S131">
        <v>116</v>
      </c>
      <c r="T131" t="s">
        <v>11</v>
      </c>
    </row>
    <row r="132" spans="1:21" x14ac:dyDescent="0.25">
      <c r="A132" s="37" t="s">
        <v>342</v>
      </c>
      <c r="B132" t="s">
        <v>343</v>
      </c>
      <c r="C132">
        <v>100</v>
      </c>
      <c r="D132" t="s">
        <v>11</v>
      </c>
      <c r="E132" t="s">
        <v>11</v>
      </c>
      <c r="F132" s="70"/>
      <c r="G132" s="3"/>
      <c r="H132" s="3"/>
      <c r="I132" s="38">
        <f>VLOOKUP(A132,$O$5:$R$279,4,0)</f>
        <v>667</v>
      </c>
      <c r="J132" s="70">
        <v>779</v>
      </c>
      <c r="K132" s="3">
        <v>8</v>
      </c>
      <c r="L132" s="3">
        <v>10</v>
      </c>
      <c r="M132" s="38">
        <f>SUM(J132:L132)</f>
        <v>797</v>
      </c>
      <c r="N132" s="67"/>
      <c r="O132" t="s">
        <v>199</v>
      </c>
      <c r="P132" t="s">
        <v>200</v>
      </c>
      <c r="Q132">
        <v>127</v>
      </c>
      <c r="R132">
        <v>6101</v>
      </c>
      <c r="S132">
        <v>117</v>
      </c>
      <c r="T132" t="s">
        <v>11</v>
      </c>
    </row>
    <row r="133" spans="1:21" x14ac:dyDescent="0.25">
      <c r="A133" s="37" t="s">
        <v>344</v>
      </c>
      <c r="B133" t="s">
        <v>345</v>
      </c>
      <c r="C133">
        <v>101</v>
      </c>
      <c r="D133" t="s">
        <v>11</v>
      </c>
      <c r="E133" t="s">
        <v>11</v>
      </c>
      <c r="F133" s="70"/>
      <c r="G133" s="3"/>
      <c r="H133" s="3"/>
      <c r="I133" s="38">
        <f>VLOOKUP(A133,$O$5:$R$279,4,0)</f>
        <v>2736</v>
      </c>
      <c r="J133" s="70">
        <v>8541</v>
      </c>
      <c r="K133" s="3">
        <v>36</v>
      </c>
      <c r="L133" s="3">
        <v>118</v>
      </c>
      <c r="M133" s="38">
        <f>SUM(J133:L133)</f>
        <v>8695</v>
      </c>
      <c r="N133" s="67"/>
      <c r="O133" t="s">
        <v>362</v>
      </c>
      <c r="P133" t="s">
        <v>363</v>
      </c>
      <c r="Q133">
        <v>128</v>
      </c>
      <c r="R133">
        <v>1118</v>
      </c>
      <c r="S133">
        <v>119</v>
      </c>
      <c r="T133" t="s">
        <v>11</v>
      </c>
    </row>
    <row r="134" spans="1:21" x14ac:dyDescent="0.25">
      <c r="A134" s="37" t="s">
        <v>346</v>
      </c>
      <c r="B134" t="s">
        <v>347</v>
      </c>
      <c r="C134">
        <v>104</v>
      </c>
      <c r="D134" t="s">
        <v>11</v>
      </c>
      <c r="E134" t="s">
        <v>11</v>
      </c>
      <c r="F134" s="70"/>
      <c r="G134" s="3"/>
      <c r="H134" s="3"/>
      <c r="I134" s="38">
        <f>VLOOKUP(A134,$O$5:$R$279,4,0)</f>
        <v>4279</v>
      </c>
      <c r="J134" s="70">
        <v>9535</v>
      </c>
      <c r="K134" s="3">
        <v>41</v>
      </c>
      <c r="L134" s="3">
        <v>82</v>
      </c>
      <c r="M134" s="38">
        <f>SUM(J134:L134)</f>
        <v>9658</v>
      </c>
      <c r="N134" s="67"/>
      <c r="O134" t="s">
        <v>364</v>
      </c>
      <c r="P134" t="s">
        <v>365</v>
      </c>
      <c r="Q134">
        <v>129</v>
      </c>
      <c r="R134">
        <v>2248</v>
      </c>
      <c r="S134">
        <v>120</v>
      </c>
      <c r="T134" t="s">
        <v>11</v>
      </c>
    </row>
    <row r="135" spans="1:21" x14ac:dyDescent="0.25">
      <c r="A135" s="37" t="s">
        <v>348</v>
      </c>
      <c r="B135" t="s">
        <v>349</v>
      </c>
      <c r="C135">
        <v>105</v>
      </c>
      <c r="D135" t="s">
        <v>11</v>
      </c>
      <c r="E135" t="s">
        <v>11</v>
      </c>
      <c r="F135" s="70"/>
      <c r="G135" s="3"/>
      <c r="H135" s="3"/>
      <c r="I135" s="38">
        <f>VLOOKUP(A135,$O$5:$R$279,4,0)</f>
        <v>852</v>
      </c>
      <c r="J135" s="70">
        <v>3382</v>
      </c>
      <c r="K135" s="3">
        <v>46</v>
      </c>
      <c r="L135" s="3">
        <v>43</v>
      </c>
      <c r="M135" s="38">
        <f>SUM(J135:L135)</f>
        <v>3471</v>
      </c>
      <c r="N135" s="67"/>
      <c r="O135" t="s">
        <v>201</v>
      </c>
      <c r="P135" t="s">
        <v>202</v>
      </c>
      <c r="Q135">
        <v>130</v>
      </c>
      <c r="R135">
        <v>314</v>
      </c>
      <c r="S135">
        <v>121</v>
      </c>
      <c r="T135" t="s">
        <v>11</v>
      </c>
    </row>
    <row r="136" spans="1:21" x14ac:dyDescent="0.25">
      <c r="A136" s="37" t="s">
        <v>350</v>
      </c>
      <c r="B136" t="s">
        <v>351</v>
      </c>
      <c r="C136">
        <v>106</v>
      </c>
      <c r="D136" t="s">
        <v>11</v>
      </c>
      <c r="E136" t="s">
        <v>11</v>
      </c>
      <c r="F136" s="70"/>
      <c r="G136" s="3"/>
      <c r="H136" s="3"/>
      <c r="I136" s="38">
        <f>VLOOKUP(A136,$O$5:$R$279,4,0)</f>
        <v>1964</v>
      </c>
      <c r="J136" s="70">
        <v>3110</v>
      </c>
      <c r="K136" s="3">
        <v>21</v>
      </c>
      <c r="L136" s="3">
        <v>37</v>
      </c>
      <c r="M136" s="38">
        <f>SUM(J136:L136)</f>
        <v>3168</v>
      </c>
      <c r="N136" s="67"/>
      <c r="O136" t="s">
        <v>205</v>
      </c>
      <c r="P136" t="s">
        <v>206</v>
      </c>
      <c r="Q136">
        <v>131</v>
      </c>
      <c r="R136">
        <v>268</v>
      </c>
      <c r="S136">
        <v>131</v>
      </c>
      <c r="T136" t="s">
        <v>11</v>
      </c>
    </row>
    <row r="137" spans="1:21" x14ac:dyDescent="0.25">
      <c r="A137" s="37" t="s">
        <v>352</v>
      </c>
      <c r="B137" t="s">
        <v>353</v>
      </c>
      <c r="C137">
        <v>108</v>
      </c>
      <c r="D137" t="s">
        <v>11</v>
      </c>
      <c r="E137" t="s">
        <v>11</v>
      </c>
      <c r="F137" s="70"/>
      <c r="G137" s="3"/>
      <c r="H137" s="3"/>
      <c r="I137" s="38">
        <f>VLOOKUP(A137,$O$5:$R$279,4,0)</f>
        <v>2423</v>
      </c>
      <c r="J137" s="70">
        <v>2367</v>
      </c>
      <c r="K137" s="3">
        <v>12</v>
      </c>
      <c r="L137" s="3">
        <v>17</v>
      </c>
      <c r="M137" s="38">
        <f>SUM(J137:L137)</f>
        <v>2396</v>
      </c>
      <c r="N137" s="67"/>
      <c r="O137" t="s">
        <v>366</v>
      </c>
      <c r="P137" t="s">
        <v>367</v>
      </c>
      <c r="Q137">
        <v>132</v>
      </c>
      <c r="R137">
        <v>713</v>
      </c>
      <c r="S137">
        <v>132</v>
      </c>
      <c r="T137" t="s">
        <v>11</v>
      </c>
    </row>
    <row r="138" spans="1:21" x14ac:dyDescent="0.25">
      <c r="A138" s="37" t="s">
        <v>354</v>
      </c>
      <c r="B138" t="s">
        <v>355</v>
      </c>
      <c r="C138">
        <v>109</v>
      </c>
      <c r="D138" t="s">
        <v>11</v>
      </c>
      <c r="E138" t="s">
        <v>11</v>
      </c>
      <c r="F138" s="70"/>
      <c r="G138" s="3"/>
      <c r="H138" s="3"/>
      <c r="I138" s="38">
        <f>VLOOKUP(A138,$O$5:$R$279,4,0)</f>
        <v>3478</v>
      </c>
      <c r="J138" s="70">
        <v>13875</v>
      </c>
      <c r="K138" s="3">
        <v>125</v>
      </c>
      <c r="L138" s="3">
        <v>290</v>
      </c>
      <c r="M138" s="38">
        <f>SUM(J138:L138)</f>
        <v>14290</v>
      </c>
      <c r="N138" s="67"/>
      <c r="O138" t="s">
        <v>368</v>
      </c>
      <c r="P138" t="s">
        <v>369</v>
      </c>
      <c r="Q138">
        <v>133</v>
      </c>
      <c r="R138">
        <v>1246</v>
      </c>
      <c r="S138">
        <v>134</v>
      </c>
      <c r="T138" t="s">
        <v>11</v>
      </c>
    </row>
    <row r="139" spans="1:21" x14ac:dyDescent="0.25">
      <c r="A139" s="37" t="s">
        <v>356</v>
      </c>
      <c r="B139" t="s">
        <v>357</v>
      </c>
      <c r="C139">
        <v>110</v>
      </c>
      <c r="D139" t="s">
        <v>11</v>
      </c>
      <c r="E139" t="s">
        <v>11</v>
      </c>
      <c r="F139" s="70"/>
      <c r="G139" s="3"/>
      <c r="H139" s="3"/>
      <c r="I139" s="38">
        <f>VLOOKUP(A139,$O$5:$R$279,4,0)</f>
        <v>3275</v>
      </c>
      <c r="J139" s="70">
        <v>6385</v>
      </c>
      <c r="K139" s="3">
        <v>25</v>
      </c>
      <c r="L139" s="3">
        <v>101</v>
      </c>
      <c r="M139" s="38">
        <f>SUM(J139:L139)</f>
        <v>6511</v>
      </c>
      <c r="N139" s="67"/>
      <c r="O139" t="s">
        <v>370</v>
      </c>
      <c r="P139" t="s">
        <v>371</v>
      </c>
      <c r="Q139">
        <v>134</v>
      </c>
      <c r="R139">
        <v>1166</v>
      </c>
      <c r="S139">
        <v>137</v>
      </c>
      <c r="T139" t="s">
        <v>11</v>
      </c>
    </row>
    <row r="140" spans="1:21" x14ac:dyDescent="0.25">
      <c r="A140" s="37" t="s">
        <v>358</v>
      </c>
      <c r="B140" t="s">
        <v>359</v>
      </c>
      <c r="C140">
        <v>112</v>
      </c>
      <c r="D140" t="s">
        <v>11</v>
      </c>
      <c r="E140" t="s">
        <v>11</v>
      </c>
      <c r="F140" s="70"/>
      <c r="G140" s="3"/>
      <c r="H140" s="3"/>
      <c r="I140" s="38">
        <f>VLOOKUP(A140,$O$5:$R$279,4,0)</f>
        <v>1135</v>
      </c>
      <c r="J140" s="70">
        <v>1064</v>
      </c>
      <c r="K140" s="3">
        <v>8</v>
      </c>
      <c r="L140" s="3">
        <v>3</v>
      </c>
      <c r="M140" s="38">
        <f>SUM(J140:L140)</f>
        <v>1075</v>
      </c>
      <c r="N140" s="67"/>
      <c r="O140" t="s">
        <v>372</v>
      </c>
      <c r="P140" t="s">
        <v>373</v>
      </c>
      <c r="Q140">
        <v>135</v>
      </c>
      <c r="R140">
        <v>20</v>
      </c>
      <c r="S140">
        <v>171</v>
      </c>
      <c r="T140" t="s">
        <v>11</v>
      </c>
    </row>
    <row r="141" spans="1:21" x14ac:dyDescent="0.25">
      <c r="A141" s="37" t="s">
        <v>360</v>
      </c>
      <c r="B141" t="s">
        <v>361</v>
      </c>
      <c r="C141">
        <v>114</v>
      </c>
      <c r="D141" t="s">
        <v>11</v>
      </c>
      <c r="E141" t="s">
        <v>11</v>
      </c>
      <c r="F141" s="70"/>
      <c r="G141" s="3"/>
      <c r="H141" s="3"/>
      <c r="I141" s="38">
        <f>VLOOKUP(A141,$O$5:$R$279,4,0)</f>
        <v>359</v>
      </c>
      <c r="J141" s="70">
        <v>0</v>
      </c>
      <c r="K141" s="3">
        <v>0</v>
      </c>
      <c r="L141" s="3">
        <v>0</v>
      </c>
      <c r="M141" s="38">
        <f>SUM(J141:L141)</f>
        <v>0</v>
      </c>
      <c r="N141" s="67"/>
      <c r="O141" t="s">
        <v>374</v>
      </c>
      <c r="P141" t="s">
        <v>375</v>
      </c>
      <c r="Q141">
        <v>136</v>
      </c>
      <c r="R141">
        <v>0</v>
      </c>
      <c r="S141">
        <v>195</v>
      </c>
      <c r="T141" t="s">
        <v>11</v>
      </c>
    </row>
    <row r="142" spans="1:21" x14ac:dyDescent="0.25">
      <c r="A142" s="37" t="s">
        <v>362</v>
      </c>
      <c r="B142" t="s">
        <v>363</v>
      </c>
      <c r="C142">
        <v>119</v>
      </c>
      <c r="D142" t="s">
        <v>11</v>
      </c>
      <c r="E142" t="s">
        <v>11</v>
      </c>
      <c r="F142" s="70"/>
      <c r="G142" s="3"/>
      <c r="H142" s="3"/>
      <c r="I142" s="38">
        <f>VLOOKUP(A142,$O$5:$R$279,4,0)</f>
        <v>1118</v>
      </c>
      <c r="J142" s="70">
        <v>4346</v>
      </c>
      <c r="K142" s="3">
        <v>36</v>
      </c>
      <c r="L142" s="3">
        <v>27</v>
      </c>
      <c r="M142" s="38">
        <f>SUM(J142:L142)</f>
        <v>4409</v>
      </c>
      <c r="N142" s="67"/>
      <c r="O142" t="s">
        <v>376</v>
      </c>
      <c r="P142" t="s">
        <v>377</v>
      </c>
      <c r="Q142">
        <v>137</v>
      </c>
      <c r="R142">
        <v>490</v>
      </c>
      <c r="S142">
        <v>201</v>
      </c>
      <c r="T142" t="s">
        <v>11</v>
      </c>
    </row>
    <row r="143" spans="1:21" s="35" customFormat="1" x14ac:dyDescent="0.25">
      <c r="A143" s="37" t="s">
        <v>364</v>
      </c>
      <c r="B143" t="s">
        <v>365</v>
      </c>
      <c r="C143">
        <v>120</v>
      </c>
      <c r="D143" t="s">
        <v>11</v>
      </c>
      <c r="E143" t="s">
        <v>11</v>
      </c>
      <c r="F143" s="70"/>
      <c r="G143" s="3"/>
      <c r="H143" s="3"/>
      <c r="I143" s="38">
        <f>VLOOKUP(A143,$O$5:$R$279,4,0)</f>
        <v>2248</v>
      </c>
      <c r="J143" s="70">
        <v>3846</v>
      </c>
      <c r="K143" s="3">
        <v>59</v>
      </c>
      <c r="L143" s="3">
        <v>300</v>
      </c>
      <c r="M143" s="38">
        <f>SUM(J143:L143)</f>
        <v>4205</v>
      </c>
      <c r="N143" s="67"/>
      <c r="O143" t="s">
        <v>378</v>
      </c>
      <c r="P143" t="s">
        <v>379</v>
      </c>
      <c r="Q143">
        <v>138</v>
      </c>
      <c r="R143">
        <v>134</v>
      </c>
      <c r="S143">
        <v>202</v>
      </c>
      <c r="T143" t="s">
        <v>11</v>
      </c>
      <c r="U143"/>
    </row>
    <row r="144" spans="1:21" x14ac:dyDescent="0.25">
      <c r="A144" s="37" t="s">
        <v>201</v>
      </c>
      <c r="B144" t="s">
        <v>202</v>
      </c>
      <c r="C144">
        <v>121</v>
      </c>
      <c r="D144" t="s">
        <v>11</v>
      </c>
      <c r="E144" t="s">
        <v>11</v>
      </c>
      <c r="F144" s="70"/>
      <c r="G144" s="3"/>
      <c r="H144" s="3"/>
      <c r="I144" s="38">
        <f>VLOOKUP(A144,$O$5:$R$279,4,0)</f>
        <v>314</v>
      </c>
      <c r="J144" s="70">
        <v>0</v>
      </c>
      <c r="K144" s="3">
        <v>0</v>
      </c>
      <c r="L144" s="3">
        <v>0</v>
      </c>
      <c r="M144" s="38">
        <f>SUM(J144:L144)</f>
        <v>0</v>
      </c>
      <c r="N144" s="67"/>
      <c r="O144" t="s">
        <v>380</v>
      </c>
      <c r="P144" t="s">
        <v>381</v>
      </c>
      <c r="Q144">
        <v>139</v>
      </c>
      <c r="R144">
        <v>826</v>
      </c>
      <c r="S144">
        <v>210</v>
      </c>
      <c r="T144" t="s">
        <v>11</v>
      </c>
    </row>
    <row r="145" spans="1:21" x14ac:dyDescent="0.25">
      <c r="A145" s="37" t="s">
        <v>205</v>
      </c>
      <c r="B145" t="s">
        <v>206</v>
      </c>
      <c r="C145">
        <v>131</v>
      </c>
      <c r="D145" t="s">
        <v>11</v>
      </c>
      <c r="E145" t="s">
        <v>11</v>
      </c>
      <c r="F145" s="70"/>
      <c r="G145" s="3"/>
      <c r="H145" s="3"/>
      <c r="I145" s="38">
        <f>VLOOKUP(A145,$O$5:$R$279,4,0)</f>
        <v>268</v>
      </c>
      <c r="J145" s="70">
        <v>957</v>
      </c>
      <c r="K145" s="3">
        <v>18</v>
      </c>
      <c r="L145" s="3">
        <v>122</v>
      </c>
      <c r="M145" s="38">
        <f>SUM(J145:L145)</f>
        <v>1097</v>
      </c>
      <c r="N145" s="67"/>
      <c r="O145" t="s">
        <v>382</v>
      </c>
      <c r="P145" t="s">
        <v>383</v>
      </c>
      <c r="Q145">
        <v>140</v>
      </c>
      <c r="R145">
        <v>631</v>
      </c>
      <c r="S145">
        <v>211</v>
      </c>
      <c r="T145" t="s">
        <v>11</v>
      </c>
    </row>
    <row r="146" spans="1:21" x14ac:dyDescent="0.25">
      <c r="A146" s="37" t="s">
        <v>366</v>
      </c>
      <c r="B146" t="s">
        <v>367</v>
      </c>
      <c r="C146">
        <v>132</v>
      </c>
      <c r="D146" t="s">
        <v>11</v>
      </c>
      <c r="E146" t="s">
        <v>11</v>
      </c>
      <c r="F146" s="70"/>
      <c r="G146" s="3"/>
      <c r="H146" s="3"/>
      <c r="I146" s="38">
        <f>VLOOKUP(A146,$O$5:$R$279,4,0)</f>
        <v>713</v>
      </c>
      <c r="J146" s="70">
        <v>549</v>
      </c>
      <c r="K146" s="3">
        <v>15</v>
      </c>
      <c r="L146" s="3">
        <v>137</v>
      </c>
      <c r="M146" s="38">
        <f>SUM(J146:L146)</f>
        <v>701</v>
      </c>
      <c r="N146" s="67"/>
      <c r="O146" t="s">
        <v>384</v>
      </c>
      <c r="P146" t="s">
        <v>385</v>
      </c>
      <c r="Q146">
        <v>141</v>
      </c>
      <c r="R146">
        <v>1406</v>
      </c>
      <c r="S146">
        <v>215</v>
      </c>
      <c r="T146" t="s">
        <v>11</v>
      </c>
    </row>
    <row r="147" spans="1:21" x14ac:dyDescent="0.25">
      <c r="A147" s="37" t="s">
        <v>368</v>
      </c>
      <c r="B147" t="s">
        <v>369</v>
      </c>
      <c r="C147">
        <v>134</v>
      </c>
      <c r="D147" t="s">
        <v>11</v>
      </c>
      <c r="E147" t="s">
        <v>11</v>
      </c>
      <c r="F147" s="70"/>
      <c r="G147" s="3"/>
      <c r="H147" s="3"/>
      <c r="I147" s="38">
        <f>VLOOKUP(A147,$O$5:$R$279,4,0)</f>
        <v>1246</v>
      </c>
      <c r="J147" s="70">
        <v>1060</v>
      </c>
      <c r="K147" s="3">
        <v>22</v>
      </c>
      <c r="L147" s="3">
        <v>52</v>
      </c>
      <c r="M147" s="38">
        <f>SUM(J147:L147)</f>
        <v>1134</v>
      </c>
      <c r="N147" s="67"/>
      <c r="O147" t="s">
        <v>386</v>
      </c>
      <c r="P147" t="s">
        <v>387</v>
      </c>
      <c r="Q147">
        <v>142</v>
      </c>
      <c r="R147">
        <v>1486</v>
      </c>
      <c r="S147">
        <v>216</v>
      </c>
      <c r="T147" t="s">
        <v>11</v>
      </c>
    </row>
    <row r="148" spans="1:21" x14ac:dyDescent="0.25">
      <c r="A148" s="37" t="s">
        <v>370</v>
      </c>
      <c r="B148" t="s">
        <v>371</v>
      </c>
      <c r="C148">
        <v>137</v>
      </c>
      <c r="D148" t="s">
        <v>11</v>
      </c>
      <c r="E148" t="s">
        <v>11</v>
      </c>
      <c r="F148" s="70"/>
      <c r="G148" s="3"/>
      <c r="H148" s="3"/>
      <c r="I148" s="38">
        <f>VLOOKUP(A148,$O$5:$R$279,4,0)</f>
        <v>1166</v>
      </c>
      <c r="J148" s="70">
        <v>1018</v>
      </c>
      <c r="K148" s="3">
        <v>17</v>
      </c>
      <c r="L148" s="3">
        <v>31</v>
      </c>
      <c r="M148" s="38">
        <f>SUM(J148:L148)</f>
        <v>1066</v>
      </c>
      <c r="N148" s="67"/>
      <c r="O148" t="s">
        <v>209</v>
      </c>
      <c r="P148" t="s">
        <v>210</v>
      </c>
      <c r="Q148">
        <v>143</v>
      </c>
      <c r="R148">
        <v>233</v>
      </c>
      <c r="S148">
        <v>217</v>
      </c>
      <c r="T148" t="s">
        <v>11</v>
      </c>
    </row>
    <row r="149" spans="1:21" s="35" customFormat="1" x14ac:dyDescent="0.25">
      <c r="A149" s="37" t="s">
        <v>372</v>
      </c>
      <c r="B149" t="s">
        <v>373</v>
      </c>
      <c r="C149">
        <v>171</v>
      </c>
      <c r="D149" t="s">
        <v>11</v>
      </c>
      <c r="E149" t="s">
        <v>11</v>
      </c>
      <c r="F149" s="70"/>
      <c r="G149" s="3"/>
      <c r="H149" s="3"/>
      <c r="I149" s="38">
        <f>VLOOKUP(A149,$O$5:$R$279,4,0)</f>
        <v>20</v>
      </c>
      <c r="J149" s="70">
        <v>0</v>
      </c>
      <c r="K149" s="3">
        <v>0</v>
      </c>
      <c r="L149" s="3">
        <v>0</v>
      </c>
      <c r="M149" s="38">
        <f>SUM(J149:L149)</f>
        <v>0</v>
      </c>
      <c r="N149" s="67"/>
      <c r="O149" t="s">
        <v>388</v>
      </c>
      <c r="P149" t="s">
        <v>389</v>
      </c>
      <c r="Q149">
        <v>144</v>
      </c>
      <c r="R149">
        <v>1121</v>
      </c>
      <c r="S149">
        <v>220</v>
      </c>
      <c r="T149" t="s">
        <v>11</v>
      </c>
      <c r="U149"/>
    </row>
    <row r="150" spans="1:21" x14ac:dyDescent="0.25">
      <c r="A150" s="37" t="s">
        <v>374</v>
      </c>
      <c r="B150" t="s">
        <v>375</v>
      </c>
      <c r="C150">
        <v>195</v>
      </c>
      <c r="D150" t="s">
        <v>11</v>
      </c>
      <c r="E150" t="s">
        <v>11</v>
      </c>
      <c r="F150" s="70"/>
      <c r="G150" s="3"/>
      <c r="H150" s="3"/>
      <c r="I150" s="38">
        <f>VLOOKUP(A150,$O$5:$R$279,4,0)</f>
        <v>0</v>
      </c>
      <c r="J150" s="70" t="s">
        <v>690</v>
      </c>
      <c r="K150" s="3" t="s">
        <v>690</v>
      </c>
      <c r="L150" s="3" t="s">
        <v>690</v>
      </c>
      <c r="M150" s="38">
        <f>SUM(J150:L150)</f>
        <v>0</v>
      </c>
      <c r="N150" s="67"/>
      <c r="O150" t="s">
        <v>390</v>
      </c>
      <c r="P150" t="s">
        <v>391</v>
      </c>
      <c r="Q150">
        <v>145</v>
      </c>
      <c r="R150">
        <v>953</v>
      </c>
      <c r="S150">
        <v>222</v>
      </c>
      <c r="T150" t="s">
        <v>11</v>
      </c>
    </row>
    <row r="151" spans="1:21" x14ac:dyDescent="0.25">
      <c r="A151" s="37" t="s">
        <v>376</v>
      </c>
      <c r="B151" t="s">
        <v>377</v>
      </c>
      <c r="C151">
        <v>201</v>
      </c>
      <c r="D151" t="s">
        <v>11</v>
      </c>
      <c r="E151" t="s">
        <v>11</v>
      </c>
      <c r="F151" s="70"/>
      <c r="G151" s="3"/>
      <c r="H151" s="3"/>
      <c r="I151" s="38">
        <f>VLOOKUP(A151,$O$5:$R$279,4,0)</f>
        <v>490</v>
      </c>
      <c r="J151" s="70">
        <v>214</v>
      </c>
      <c r="K151" s="3">
        <v>1</v>
      </c>
      <c r="L151" s="3">
        <v>0</v>
      </c>
      <c r="M151" s="38">
        <f>SUM(J151:L151)</f>
        <v>215</v>
      </c>
      <c r="N151" s="67"/>
      <c r="O151" t="s">
        <v>392</v>
      </c>
      <c r="P151" t="s">
        <v>393</v>
      </c>
      <c r="Q151">
        <v>146</v>
      </c>
      <c r="R151">
        <v>1370</v>
      </c>
      <c r="S151">
        <v>225</v>
      </c>
      <c r="T151" t="s">
        <v>11</v>
      </c>
    </row>
    <row r="152" spans="1:21" x14ac:dyDescent="0.25">
      <c r="A152" s="37" t="s">
        <v>378</v>
      </c>
      <c r="B152" t="s">
        <v>379</v>
      </c>
      <c r="C152">
        <v>202</v>
      </c>
      <c r="D152" t="s">
        <v>11</v>
      </c>
      <c r="E152" t="s">
        <v>11</v>
      </c>
      <c r="F152" s="70"/>
      <c r="G152" s="3"/>
      <c r="H152" s="3"/>
      <c r="I152" s="38">
        <f>VLOOKUP(A152,$O$5:$R$279,4,0)</f>
        <v>134</v>
      </c>
      <c r="J152" s="70">
        <v>437</v>
      </c>
      <c r="K152" s="3">
        <v>2</v>
      </c>
      <c r="L152" s="3">
        <v>0</v>
      </c>
      <c r="M152" s="38">
        <f>SUM(J152:L152)</f>
        <v>439</v>
      </c>
      <c r="N152" s="67"/>
      <c r="O152" t="s">
        <v>394</v>
      </c>
      <c r="P152" t="s">
        <v>395</v>
      </c>
      <c r="Q152">
        <v>147</v>
      </c>
      <c r="R152">
        <v>551</v>
      </c>
      <c r="S152">
        <v>226</v>
      </c>
      <c r="T152" t="s">
        <v>11</v>
      </c>
    </row>
    <row r="153" spans="1:21" x14ac:dyDescent="0.25">
      <c r="A153" s="37" t="s">
        <v>380</v>
      </c>
      <c r="B153" t="s">
        <v>381</v>
      </c>
      <c r="C153">
        <v>210</v>
      </c>
      <c r="D153" t="s">
        <v>11</v>
      </c>
      <c r="E153" t="s">
        <v>11</v>
      </c>
      <c r="F153" s="70"/>
      <c r="G153" s="3"/>
      <c r="H153" s="3"/>
      <c r="I153" s="38">
        <f>VLOOKUP(A153,$O$5:$R$279,4,0)</f>
        <v>826</v>
      </c>
      <c r="J153" s="70">
        <v>1084</v>
      </c>
      <c r="K153" s="3">
        <v>3</v>
      </c>
      <c r="L153" s="3">
        <v>27</v>
      </c>
      <c r="M153" s="38">
        <f>SUM(J153:L153)</f>
        <v>1114</v>
      </c>
      <c r="N153" s="67"/>
      <c r="O153" t="s">
        <v>396</v>
      </c>
      <c r="P153" t="s">
        <v>397</v>
      </c>
      <c r="Q153">
        <v>148</v>
      </c>
      <c r="R153">
        <v>837</v>
      </c>
      <c r="S153">
        <v>230</v>
      </c>
      <c r="T153" t="s">
        <v>11</v>
      </c>
    </row>
    <row r="154" spans="1:21" x14ac:dyDescent="0.25">
      <c r="A154" s="37" t="s">
        <v>382</v>
      </c>
      <c r="B154" t="s">
        <v>383</v>
      </c>
      <c r="C154">
        <v>211</v>
      </c>
      <c r="D154" t="s">
        <v>11</v>
      </c>
      <c r="E154" t="s">
        <v>11</v>
      </c>
      <c r="F154" s="70"/>
      <c r="G154" s="3"/>
      <c r="H154" s="3"/>
      <c r="I154" s="38">
        <f>VLOOKUP(A154,$O$5:$R$279,4,0)</f>
        <v>631</v>
      </c>
      <c r="J154" s="70">
        <v>1279</v>
      </c>
      <c r="K154" s="3">
        <v>7</v>
      </c>
      <c r="L154" s="3">
        <v>35</v>
      </c>
      <c r="M154" s="38">
        <f>SUM(J154:L154)</f>
        <v>1321</v>
      </c>
      <c r="N154" s="67"/>
      <c r="O154" t="s">
        <v>398</v>
      </c>
      <c r="P154" t="s">
        <v>399</v>
      </c>
      <c r="Q154">
        <v>149</v>
      </c>
      <c r="R154">
        <v>395</v>
      </c>
      <c r="S154">
        <v>236</v>
      </c>
      <c r="T154" t="s">
        <v>11</v>
      </c>
    </row>
    <row r="155" spans="1:21" x14ac:dyDescent="0.25">
      <c r="A155" s="37" t="s">
        <v>384</v>
      </c>
      <c r="B155" t="s">
        <v>385</v>
      </c>
      <c r="C155">
        <v>215</v>
      </c>
      <c r="D155" t="s">
        <v>11</v>
      </c>
      <c r="E155" t="s">
        <v>11</v>
      </c>
      <c r="F155" s="70"/>
      <c r="G155" s="3"/>
      <c r="H155" s="3"/>
      <c r="I155" s="38">
        <f>VLOOKUP(A155,$O$5:$R$279,4,0)</f>
        <v>1406</v>
      </c>
      <c r="J155" s="70">
        <v>1692</v>
      </c>
      <c r="K155" s="3">
        <v>17</v>
      </c>
      <c r="L155" s="3">
        <v>39</v>
      </c>
      <c r="M155" s="38">
        <f>SUM(J155:L155)</f>
        <v>1748</v>
      </c>
      <c r="N155" s="67"/>
      <c r="O155" t="s">
        <v>400</v>
      </c>
      <c r="P155" t="s">
        <v>401</v>
      </c>
      <c r="Q155">
        <v>150</v>
      </c>
      <c r="R155">
        <v>1187</v>
      </c>
      <c r="S155">
        <v>238</v>
      </c>
      <c r="T155" t="s">
        <v>11</v>
      </c>
    </row>
    <row r="156" spans="1:21" x14ac:dyDescent="0.25">
      <c r="A156" s="37" t="s">
        <v>386</v>
      </c>
      <c r="B156" t="s">
        <v>387</v>
      </c>
      <c r="C156">
        <v>216</v>
      </c>
      <c r="D156" t="s">
        <v>11</v>
      </c>
      <c r="E156" t="s">
        <v>11</v>
      </c>
      <c r="F156" s="70"/>
      <c r="G156" s="3"/>
      <c r="H156" s="3"/>
      <c r="I156" s="38">
        <f>VLOOKUP(A156,$O$5:$R$279,4,0)</f>
        <v>1486</v>
      </c>
      <c r="J156" s="70">
        <v>1271</v>
      </c>
      <c r="K156" s="3">
        <v>6</v>
      </c>
      <c r="L156" s="3">
        <v>3</v>
      </c>
      <c r="M156" s="38">
        <f>SUM(J156:L156)</f>
        <v>1280</v>
      </c>
      <c r="N156" s="67"/>
      <c r="O156" t="s">
        <v>402</v>
      </c>
      <c r="P156" t="s">
        <v>403</v>
      </c>
      <c r="Q156">
        <v>151</v>
      </c>
      <c r="R156">
        <v>2101</v>
      </c>
      <c r="S156">
        <v>240</v>
      </c>
      <c r="T156" t="s">
        <v>11</v>
      </c>
    </row>
    <row r="157" spans="1:21" x14ac:dyDescent="0.25">
      <c r="A157" s="37" t="s">
        <v>209</v>
      </c>
      <c r="B157" t="s">
        <v>210</v>
      </c>
      <c r="C157">
        <v>217</v>
      </c>
      <c r="D157" t="s">
        <v>11</v>
      </c>
      <c r="E157" t="s">
        <v>11</v>
      </c>
      <c r="F157" s="70"/>
      <c r="G157" s="3"/>
      <c r="H157" s="3"/>
      <c r="I157" s="38">
        <f>VLOOKUP(A157,$O$5:$R$279,4,0)</f>
        <v>233</v>
      </c>
      <c r="J157" s="70">
        <v>522</v>
      </c>
      <c r="K157" s="3">
        <v>4</v>
      </c>
      <c r="L157" s="3">
        <v>20</v>
      </c>
      <c r="M157" s="38">
        <f>SUM(J157:L157)</f>
        <v>546</v>
      </c>
      <c r="N157" s="67"/>
      <c r="O157" t="s">
        <v>404</v>
      </c>
      <c r="P157" t="s">
        <v>405</v>
      </c>
      <c r="Q157">
        <v>152</v>
      </c>
      <c r="R157">
        <v>109</v>
      </c>
      <c r="S157">
        <v>245</v>
      </c>
      <c r="T157" t="s">
        <v>11</v>
      </c>
    </row>
    <row r="158" spans="1:21" x14ac:dyDescent="0.25">
      <c r="A158" s="37" t="s">
        <v>388</v>
      </c>
      <c r="B158" t="s">
        <v>389</v>
      </c>
      <c r="C158">
        <v>220</v>
      </c>
      <c r="D158" t="s">
        <v>11</v>
      </c>
      <c r="E158" t="s">
        <v>11</v>
      </c>
      <c r="F158" s="70"/>
      <c r="G158" s="3"/>
      <c r="H158" s="3"/>
      <c r="I158" s="38">
        <f>VLOOKUP(A158,$O$5:$R$279,4,0)</f>
        <v>1121</v>
      </c>
      <c r="J158" s="70">
        <v>763</v>
      </c>
      <c r="K158" s="3">
        <v>27</v>
      </c>
      <c r="L158" s="3">
        <v>792</v>
      </c>
      <c r="M158" s="38">
        <f>SUM(J158:L158)</f>
        <v>1582</v>
      </c>
      <c r="N158" s="67"/>
      <c r="O158" t="s">
        <v>406</v>
      </c>
      <c r="P158" t="s">
        <v>407</v>
      </c>
      <c r="Q158">
        <v>153</v>
      </c>
      <c r="R158">
        <v>1173</v>
      </c>
      <c r="S158">
        <v>350</v>
      </c>
      <c r="T158" t="s">
        <v>11</v>
      </c>
    </row>
    <row r="159" spans="1:21" x14ac:dyDescent="0.25">
      <c r="A159" s="37" t="s">
        <v>390</v>
      </c>
      <c r="B159" t="s">
        <v>391</v>
      </c>
      <c r="C159">
        <v>222</v>
      </c>
      <c r="D159" t="s">
        <v>11</v>
      </c>
      <c r="E159" t="s">
        <v>11</v>
      </c>
      <c r="F159" s="70"/>
      <c r="G159" s="3"/>
      <c r="H159" s="3"/>
      <c r="I159" s="38">
        <f>VLOOKUP(A159,$O$5:$R$279,4,0)</f>
        <v>953</v>
      </c>
      <c r="J159" s="70">
        <v>1378</v>
      </c>
      <c r="K159" s="3">
        <v>16</v>
      </c>
      <c r="L159" s="3">
        <v>2</v>
      </c>
      <c r="M159" s="38">
        <f>SUM(J159:L159)</f>
        <v>1396</v>
      </c>
      <c r="N159" s="67"/>
      <c r="O159" t="s">
        <v>211</v>
      </c>
      <c r="P159" t="s">
        <v>212</v>
      </c>
      <c r="Q159">
        <v>154</v>
      </c>
      <c r="R159">
        <v>25</v>
      </c>
      <c r="S159">
        <v>351</v>
      </c>
      <c r="T159" t="s">
        <v>11</v>
      </c>
    </row>
    <row r="160" spans="1:21" x14ac:dyDescent="0.25">
      <c r="A160" s="37" t="s">
        <v>392</v>
      </c>
      <c r="B160" t="s">
        <v>393</v>
      </c>
      <c r="C160">
        <v>225</v>
      </c>
      <c r="D160" t="s">
        <v>11</v>
      </c>
      <c r="E160" t="s">
        <v>11</v>
      </c>
      <c r="F160" s="70"/>
      <c r="G160" s="3"/>
      <c r="H160" s="3"/>
      <c r="I160" s="38">
        <f>VLOOKUP(A160,$O$5:$R$279,4,0)</f>
        <v>1370</v>
      </c>
      <c r="J160" s="70">
        <v>0</v>
      </c>
      <c r="K160" s="3">
        <v>0</v>
      </c>
      <c r="L160" s="3">
        <v>0</v>
      </c>
      <c r="M160" s="38">
        <f>SUM(J160:L160)</f>
        <v>0</v>
      </c>
      <c r="N160" s="67"/>
      <c r="O160" t="s">
        <v>215</v>
      </c>
      <c r="P160" t="s">
        <v>676</v>
      </c>
      <c r="Q160">
        <v>155</v>
      </c>
      <c r="R160">
        <v>659</v>
      </c>
      <c r="S160">
        <v>354</v>
      </c>
      <c r="T160" t="s">
        <v>11</v>
      </c>
    </row>
    <row r="161" spans="1:20" x14ac:dyDescent="0.25">
      <c r="A161" s="37" t="s">
        <v>394</v>
      </c>
      <c r="B161" t="s">
        <v>395</v>
      </c>
      <c r="C161">
        <v>226</v>
      </c>
      <c r="D161" t="s">
        <v>11</v>
      </c>
      <c r="E161" t="s">
        <v>11</v>
      </c>
      <c r="F161" s="70"/>
      <c r="G161" s="3"/>
      <c r="H161" s="3"/>
      <c r="I161" s="38">
        <f>VLOOKUP(A161,$O$5:$R$279,4,0)</f>
        <v>551</v>
      </c>
      <c r="J161" s="70">
        <v>531</v>
      </c>
      <c r="K161" s="3">
        <v>8</v>
      </c>
      <c r="L161" s="3">
        <v>10</v>
      </c>
      <c r="M161" s="38">
        <f>SUM(J161:L161)</f>
        <v>549</v>
      </c>
      <c r="N161" s="67"/>
      <c r="O161" t="s">
        <v>408</v>
      </c>
      <c r="P161" t="s">
        <v>409</v>
      </c>
      <c r="Q161">
        <v>156</v>
      </c>
      <c r="R161">
        <v>1050</v>
      </c>
      <c r="S161">
        <v>411</v>
      </c>
      <c r="T161" t="s">
        <v>11</v>
      </c>
    </row>
    <row r="162" spans="1:20" x14ac:dyDescent="0.25">
      <c r="A162" s="37" t="s">
        <v>396</v>
      </c>
      <c r="B162" t="s">
        <v>397</v>
      </c>
      <c r="C162">
        <v>230</v>
      </c>
      <c r="D162" t="s">
        <v>11</v>
      </c>
      <c r="E162" t="s">
        <v>11</v>
      </c>
      <c r="F162" s="70"/>
      <c r="G162" s="3"/>
      <c r="H162" s="3"/>
      <c r="I162" s="38">
        <f>VLOOKUP(A162,$O$5:$R$279,4,0)</f>
        <v>837</v>
      </c>
      <c r="J162" s="70">
        <v>2571</v>
      </c>
      <c r="K162" s="3">
        <v>13</v>
      </c>
      <c r="L162" s="3">
        <v>12</v>
      </c>
      <c r="M162" s="38">
        <f>SUM(J162:L162)</f>
        <v>2596</v>
      </c>
      <c r="N162" s="67"/>
      <c r="O162" t="s">
        <v>219</v>
      </c>
      <c r="P162" t="s">
        <v>220</v>
      </c>
      <c r="Q162">
        <v>157</v>
      </c>
      <c r="R162">
        <v>312</v>
      </c>
      <c r="S162">
        <v>424</v>
      </c>
      <c r="T162" t="s">
        <v>11</v>
      </c>
    </row>
    <row r="163" spans="1:20" x14ac:dyDescent="0.25">
      <c r="A163" s="37" t="s">
        <v>398</v>
      </c>
      <c r="B163" t="s">
        <v>399</v>
      </c>
      <c r="C163">
        <v>236</v>
      </c>
      <c r="D163" t="s">
        <v>11</v>
      </c>
      <c r="E163" t="s">
        <v>11</v>
      </c>
      <c r="F163" s="70"/>
      <c r="G163" s="3"/>
      <c r="H163" s="3"/>
      <c r="I163" s="38">
        <f>VLOOKUP(A163,$O$5:$R$279,4,0)</f>
        <v>395</v>
      </c>
      <c r="J163" s="70">
        <v>531</v>
      </c>
      <c r="K163" s="3">
        <v>15</v>
      </c>
      <c r="L163" s="3">
        <v>6</v>
      </c>
      <c r="M163" s="38">
        <f>SUM(J163:L163)</f>
        <v>552</v>
      </c>
      <c r="N163" s="67"/>
      <c r="O163" t="s">
        <v>410</v>
      </c>
      <c r="P163" t="s">
        <v>677</v>
      </c>
      <c r="Q163">
        <v>158</v>
      </c>
      <c r="R163">
        <v>1557</v>
      </c>
      <c r="S163">
        <v>426</v>
      </c>
      <c r="T163" t="s">
        <v>11</v>
      </c>
    </row>
    <row r="164" spans="1:20" x14ac:dyDescent="0.25">
      <c r="A164" s="37" t="s">
        <v>400</v>
      </c>
      <c r="B164" t="s">
        <v>401</v>
      </c>
      <c r="C164">
        <v>238</v>
      </c>
      <c r="D164" t="s">
        <v>11</v>
      </c>
      <c r="E164" t="s">
        <v>11</v>
      </c>
      <c r="F164" s="70"/>
      <c r="G164" s="3"/>
      <c r="H164" s="3"/>
      <c r="I164" s="38">
        <f>VLOOKUP(A164,$O$5:$R$279,4,0)</f>
        <v>1187</v>
      </c>
      <c r="J164" s="70">
        <v>850</v>
      </c>
      <c r="K164" s="3">
        <v>68</v>
      </c>
      <c r="L164" s="3">
        <v>44</v>
      </c>
      <c r="M164" s="38">
        <f>SUM(J164:L164)</f>
        <v>962</v>
      </c>
      <c r="N164" s="67"/>
      <c r="O164" t="s">
        <v>223</v>
      </c>
      <c r="P164" t="s">
        <v>224</v>
      </c>
      <c r="Q164">
        <v>159</v>
      </c>
      <c r="R164">
        <v>108</v>
      </c>
      <c r="S164">
        <v>428</v>
      </c>
      <c r="T164" t="s">
        <v>11</v>
      </c>
    </row>
    <row r="165" spans="1:20" x14ac:dyDescent="0.25">
      <c r="A165" s="37" t="s">
        <v>402</v>
      </c>
      <c r="B165" t="s">
        <v>403</v>
      </c>
      <c r="C165">
        <v>240</v>
      </c>
      <c r="D165" t="s">
        <v>11</v>
      </c>
      <c r="E165" t="s">
        <v>11</v>
      </c>
      <c r="F165" s="70"/>
      <c r="G165" s="3"/>
      <c r="H165" s="3"/>
      <c r="I165" s="38">
        <f>VLOOKUP(A165,$O$5:$R$279,4,0)</f>
        <v>2101</v>
      </c>
      <c r="J165" s="70">
        <v>2187</v>
      </c>
      <c r="K165" s="3">
        <v>25</v>
      </c>
      <c r="L165" s="3">
        <v>40</v>
      </c>
      <c r="M165" s="38">
        <f>SUM(J165:L165)</f>
        <v>2252</v>
      </c>
      <c r="N165" s="67"/>
      <c r="O165" t="s">
        <v>412</v>
      </c>
      <c r="P165" t="s">
        <v>678</v>
      </c>
      <c r="Q165">
        <v>160</v>
      </c>
      <c r="R165">
        <v>1502</v>
      </c>
      <c r="S165">
        <v>429</v>
      </c>
      <c r="T165" t="s">
        <v>11</v>
      </c>
    </row>
    <row r="166" spans="1:20" x14ac:dyDescent="0.25">
      <c r="A166" s="37" t="s">
        <v>404</v>
      </c>
      <c r="B166" t="s">
        <v>405</v>
      </c>
      <c r="C166">
        <v>245</v>
      </c>
      <c r="D166" t="s">
        <v>11</v>
      </c>
      <c r="E166" t="s">
        <v>11</v>
      </c>
      <c r="F166" s="70"/>
      <c r="G166" s="3"/>
      <c r="H166" s="3"/>
      <c r="I166" s="38">
        <f>VLOOKUP(A166,$O$5:$R$279,4,0)</f>
        <v>109</v>
      </c>
      <c r="J166" s="70">
        <v>1271</v>
      </c>
      <c r="K166" s="3">
        <v>11</v>
      </c>
      <c r="L166" s="3">
        <v>20</v>
      </c>
      <c r="M166" s="38">
        <f>SUM(J166:L166)</f>
        <v>1302</v>
      </c>
      <c r="N166" s="67"/>
      <c r="O166" t="s">
        <v>414</v>
      </c>
      <c r="P166" t="s">
        <v>415</v>
      </c>
      <c r="Q166">
        <v>161</v>
      </c>
      <c r="R166">
        <v>1005</v>
      </c>
      <c r="S166">
        <v>430</v>
      </c>
      <c r="T166" t="s">
        <v>11</v>
      </c>
    </row>
    <row r="167" spans="1:20" x14ac:dyDescent="0.25">
      <c r="A167" s="37" t="s">
        <v>406</v>
      </c>
      <c r="B167" t="s">
        <v>407</v>
      </c>
      <c r="C167">
        <v>350</v>
      </c>
      <c r="D167" t="s">
        <v>11</v>
      </c>
      <c r="E167" t="s">
        <v>11</v>
      </c>
      <c r="F167" s="70"/>
      <c r="G167" s="3"/>
      <c r="H167" s="3"/>
      <c r="I167" s="38">
        <f>VLOOKUP(A167,$O$5:$R$279,4,0)</f>
        <v>1173</v>
      </c>
      <c r="J167" s="70">
        <v>0</v>
      </c>
      <c r="K167" s="3">
        <v>0</v>
      </c>
      <c r="L167" s="3">
        <v>0</v>
      </c>
      <c r="M167" s="38">
        <f>SUM(J167:L167)</f>
        <v>0</v>
      </c>
      <c r="N167" s="67"/>
      <c r="O167" t="s">
        <v>416</v>
      </c>
      <c r="P167" t="s">
        <v>679</v>
      </c>
      <c r="Q167">
        <v>162</v>
      </c>
      <c r="R167">
        <v>993</v>
      </c>
      <c r="S167">
        <v>435</v>
      </c>
      <c r="T167" t="s">
        <v>11</v>
      </c>
    </row>
    <row r="168" spans="1:20" x14ac:dyDescent="0.25">
      <c r="A168" s="37" t="s">
        <v>211</v>
      </c>
      <c r="B168" t="s">
        <v>212</v>
      </c>
      <c r="C168">
        <v>351</v>
      </c>
      <c r="D168" t="s">
        <v>11</v>
      </c>
      <c r="E168" t="s">
        <v>11</v>
      </c>
      <c r="F168" s="70"/>
      <c r="G168" s="3"/>
      <c r="H168" s="3"/>
      <c r="I168" s="38">
        <f>VLOOKUP(A168,$O$5:$R$279,4,0)</f>
        <v>25</v>
      </c>
      <c r="J168" s="70">
        <v>38</v>
      </c>
      <c r="K168" s="3">
        <v>2</v>
      </c>
      <c r="L168" s="3">
        <v>0</v>
      </c>
      <c r="M168" s="38">
        <f>SUM(J168:L168)</f>
        <v>40</v>
      </c>
      <c r="N168" s="67"/>
      <c r="O168" t="s">
        <v>418</v>
      </c>
      <c r="P168" t="s">
        <v>680</v>
      </c>
      <c r="Q168">
        <v>163</v>
      </c>
      <c r="R168">
        <v>692</v>
      </c>
      <c r="S168">
        <v>436</v>
      </c>
      <c r="T168" t="s">
        <v>11</v>
      </c>
    </row>
    <row r="169" spans="1:20" x14ac:dyDescent="0.25">
      <c r="A169" s="37" t="s">
        <v>408</v>
      </c>
      <c r="B169" t="s">
        <v>409</v>
      </c>
      <c r="C169">
        <v>411</v>
      </c>
      <c r="D169" t="s">
        <v>11</v>
      </c>
      <c r="E169" t="s">
        <v>11</v>
      </c>
      <c r="F169" s="70"/>
      <c r="G169" s="3"/>
      <c r="H169" s="3"/>
      <c r="I169" s="38">
        <f>VLOOKUP(A169,$O$5:$R$279,4,0)</f>
        <v>1050</v>
      </c>
      <c r="J169" s="70">
        <v>0</v>
      </c>
      <c r="K169" s="3">
        <v>0</v>
      </c>
      <c r="L169" s="3">
        <v>0</v>
      </c>
      <c r="M169" s="38">
        <f>SUM(J169:L169)</f>
        <v>0</v>
      </c>
      <c r="N169" s="67"/>
      <c r="O169" t="s">
        <v>225</v>
      </c>
      <c r="P169" t="s">
        <v>226</v>
      </c>
      <c r="Q169">
        <v>164</v>
      </c>
      <c r="R169">
        <v>83</v>
      </c>
      <c r="S169">
        <v>439</v>
      </c>
      <c r="T169" t="s">
        <v>11</v>
      </c>
    </row>
    <row r="170" spans="1:20" x14ac:dyDescent="0.25">
      <c r="A170" s="37" t="s">
        <v>219</v>
      </c>
      <c r="B170" t="s">
        <v>220</v>
      </c>
      <c r="C170">
        <v>424</v>
      </c>
      <c r="D170" t="s">
        <v>11</v>
      </c>
      <c r="E170" t="s">
        <v>11</v>
      </c>
      <c r="F170" s="70"/>
      <c r="G170" s="3"/>
      <c r="H170" s="3"/>
      <c r="I170" s="38">
        <f>VLOOKUP(A170,$O$5:$R$279,4,0)</f>
        <v>312</v>
      </c>
      <c r="J170" s="70">
        <v>0</v>
      </c>
      <c r="K170" s="3">
        <v>0</v>
      </c>
      <c r="L170" s="3">
        <v>0</v>
      </c>
      <c r="M170" s="38">
        <f>SUM(J170:L170)</f>
        <v>0</v>
      </c>
      <c r="N170" s="67"/>
      <c r="O170" t="s">
        <v>420</v>
      </c>
      <c r="P170" t="s">
        <v>421</v>
      </c>
      <c r="Q170">
        <v>165</v>
      </c>
      <c r="R170">
        <v>1084</v>
      </c>
      <c r="S170">
        <v>441</v>
      </c>
      <c r="T170" t="s">
        <v>11</v>
      </c>
    </row>
    <row r="171" spans="1:20" x14ac:dyDescent="0.25">
      <c r="A171" s="37" t="s">
        <v>412</v>
      </c>
      <c r="B171" t="s">
        <v>413</v>
      </c>
      <c r="C171">
        <v>429</v>
      </c>
      <c r="D171" t="s">
        <v>11</v>
      </c>
      <c r="E171" t="s">
        <v>11</v>
      </c>
      <c r="F171" s="70"/>
      <c r="G171" s="3"/>
      <c r="H171" s="3"/>
      <c r="I171" s="38">
        <f>VLOOKUP(A171,$O$5:$R$279,4,0)</f>
        <v>1502</v>
      </c>
      <c r="J171" s="70">
        <v>1925</v>
      </c>
      <c r="K171" s="3">
        <v>17</v>
      </c>
      <c r="L171" s="3">
        <v>16</v>
      </c>
      <c r="M171" s="38">
        <f>SUM(J171:L171)</f>
        <v>1958</v>
      </c>
      <c r="N171" s="67"/>
      <c r="O171" t="s">
        <v>422</v>
      </c>
      <c r="P171" t="s">
        <v>423</v>
      </c>
      <c r="Q171">
        <v>165</v>
      </c>
      <c r="R171">
        <v>0</v>
      </c>
      <c r="S171">
        <v>441442</v>
      </c>
      <c r="T171" t="s">
        <v>11</v>
      </c>
    </row>
    <row r="172" spans="1:20" x14ac:dyDescent="0.25">
      <c r="A172" s="37" t="s">
        <v>414</v>
      </c>
      <c r="B172" t="s">
        <v>415</v>
      </c>
      <c r="C172">
        <v>430</v>
      </c>
      <c r="D172" t="s">
        <v>11</v>
      </c>
      <c r="E172" t="s">
        <v>11</v>
      </c>
      <c r="F172" s="70"/>
      <c r="G172" s="3"/>
      <c r="H172" s="3"/>
      <c r="I172" s="38">
        <f>VLOOKUP(A172,$O$5:$R$279,4,0)</f>
        <v>1005</v>
      </c>
      <c r="J172" s="70">
        <v>0</v>
      </c>
      <c r="K172" s="3">
        <v>0</v>
      </c>
      <c r="L172" s="3">
        <v>0</v>
      </c>
      <c r="M172" s="38">
        <f>SUM(J172:L172)</f>
        <v>0</v>
      </c>
      <c r="N172" s="67"/>
      <c r="O172" t="s">
        <v>424</v>
      </c>
      <c r="P172" t="s">
        <v>425</v>
      </c>
      <c r="Q172">
        <v>165</v>
      </c>
      <c r="R172">
        <v>2091</v>
      </c>
      <c r="S172">
        <v>442</v>
      </c>
      <c r="T172" t="s">
        <v>11</v>
      </c>
    </row>
    <row r="173" spans="1:20" x14ac:dyDescent="0.25">
      <c r="A173" s="37" t="s">
        <v>416</v>
      </c>
      <c r="B173" t="s">
        <v>417</v>
      </c>
      <c r="C173">
        <v>435</v>
      </c>
      <c r="D173" t="s">
        <v>11</v>
      </c>
      <c r="E173" t="s">
        <v>11</v>
      </c>
      <c r="F173" s="70"/>
      <c r="G173" s="3"/>
      <c r="H173" s="3"/>
      <c r="I173" s="38">
        <f>VLOOKUP(A173,$O$5:$R$279,4,0)</f>
        <v>993</v>
      </c>
      <c r="J173" s="70">
        <v>1239</v>
      </c>
      <c r="K173" s="3">
        <v>31</v>
      </c>
      <c r="L173" s="3">
        <v>14</v>
      </c>
      <c r="M173" s="38">
        <f>SUM(J173:L173)</f>
        <v>1284</v>
      </c>
      <c r="N173" s="67"/>
      <c r="O173" t="s">
        <v>426</v>
      </c>
      <c r="P173" t="s">
        <v>427</v>
      </c>
      <c r="Q173">
        <v>168</v>
      </c>
      <c r="R173">
        <v>1938</v>
      </c>
      <c r="S173">
        <v>450</v>
      </c>
      <c r="T173" t="s">
        <v>11</v>
      </c>
    </row>
    <row r="174" spans="1:20" x14ac:dyDescent="0.25">
      <c r="A174" s="37" t="s">
        <v>418</v>
      </c>
      <c r="B174" t="s">
        <v>419</v>
      </c>
      <c r="C174">
        <v>436</v>
      </c>
      <c r="D174" t="s">
        <v>11</v>
      </c>
      <c r="E174" t="s">
        <v>11</v>
      </c>
      <c r="F174" s="70"/>
      <c r="G174" s="3"/>
      <c r="H174" s="3"/>
      <c r="I174" s="38">
        <f>VLOOKUP(A174,$O$5:$R$279,4,0)</f>
        <v>692</v>
      </c>
      <c r="J174" s="70">
        <v>975</v>
      </c>
      <c r="K174" s="3">
        <v>17</v>
      </c>
      <c r="L174" s="3">
        <v>38</v>
      </c>
      <c r="M174" s="38">
        <f>SUM(J174:L174)</f>
        <v>1030</v>
      </c>
      <c r="N174" s="67"/>
      <c r="O174" t="s">
        <v>229</v>
      </c>
      <c r="P174" t="s">
        <v>230</v>
      </c>
      <c r="Q174">
        <v>169</v>
      </c>
      <c r="R174">
        <v>49</v>
      </c>
      <c r="S174">
        <v>451</v>
      </c>
      <c r="T174" t="s">
        <v>11</v>
      </c>
    </row>
    <row r="175" spans="1:20" x14ac:dyDescent="0.25">
      <c r="A175" s="37" t="s">
        <v>225</v>
      </c>
      <c r="B175" t="s">
        <v>226</v>
      </c>
      <c r="C175">
        <v>439</v>
      </c>
      <c r="D175" t="s">
        <v>11</v>
      </c>
      <c r="E175" t="s">
        <v>11</v>
      </c>
      <c r="F175" s="70"/>
      <c r="G175" s="3"/>
      <c r="H175" s="3"/>
      <c r="I175" s="38">
        <f>VLOOKUP(A175,$O$5:$R$279,4,0)</f>
        <v>83</v>
      </c>
      <c r="J175" s="70">
        <v>19</v>
      </c>
      <c r="K175" s="3">
        <v>0</v>
      </c>
      <c r="L175" s="3">
        <v>5</v>
      </c>
      <c r="M175" s="38">
        <f>SUM(J175:L175)</f>
        <v>24</v>
      </c>
      <c r="N175" s="67"/>
      <c r="O175" t="s">
        <v>428</v>
      </c>
      <c r="P175" t="s">
        <v>429</v>
      </c>
      <c r="Q175">
        <v>170</v>
      </c>
      <c r="R175">
        <v>3904</v>
      </c>
      <c r="S175">
        <v>455</v>
      </c>
      <c r="T175" t="s">
        <v>11</v>
      </c>
    </row>
    <row r="176" spans="1:20" x14ac:dyDescent="0.25">
      <c r="A176" s="37" t="s">
        <v>420</v>
      </c>
      <c r="B176" t="s">
        <v>421</v>
      </c>
      <c r="C176">
        <v>441</v>
      </c>
      <c r="D176" t="s">
        <v>11</v>
      </c>
      <c r="E176" t="s">
        <v>11</v>
      </c>
      <c r="F176" s="70"/>
      <c r="G176" s="3"/>
      <c r="H176" s="3"/>
      <c r="I176" s="38">
        <f>VLOOKUP(A176,$O$5:$R$279,4,0)</f>
        <v>1084</v>
      </c>
      <c r="J176" s="70">
        <v>0</v>
      </c>
      <c r="K176" s="3">
        <v>0</v>
      </c>
      <c r="L176" s="3">
        <v>0</v>
      </c>
      <c r="M176" s="38">
        <f>SUM(J176:L176)</f>
        <v>0</v>
      </c>
      <c r="N176" s="67"/>
      <c r="O176" t="s">
        <v>430</v>
      </c>
      <c r="P176" t="s">
        <v>681</v>
      </c>
      <c r="Q176">
        <v>171</v>
      </c>
      <c r="R176">
        <v>141</v>
      </c>
      <c r="S176">
        <v>456</v>
      </c>
      <c r="T176" t="s">
        <v>11</v>
      </c>
    </row>
    <row r="177" spans="1:20" x14ac:dyDescent="0.25">
      <c r="A177" s="37" t="s">
        <v>422</v>
      </c>
      <c r="B177" t="s">
        <v>423</v>
      </c>
      <c r="C177">
        <v>441442</v>
      </c>
      <c r="D177" t="s">
        <v>11</v>
      </c>
      <c r="E177" t="s">
        <v>11</v>
      </c>
      <c r="F177" s="70"/>
      <c r="G177" s="3"/>
      <c r="H177" s="3"/>
      <c r="I177" s="38">
        <f>VLOOKUP(A177,$O$5:$R$279,4,0)</f>
        <v>0</v>
      </c>
      <c r="J177" s="70">
        <v>0</v>
      </c>
      <c r="K177" s="3">
        <v>0</v>
      </c>
      <c r="L177" s="3">
        <v>0</v>
      </c>
      <c r="M177" s="38">
        <f>SUM(J177:L177)</f>
        <v>0</v>
      </c>
      <c r="N177" s="67"/>
      <c r="O177" t="s">
        <v>232</v>
      </c>
      <c r="P177" t="s">
        <v>233</v>
      </c>
      <c r="Q177">
        <v>172</v>
      </c>
      <c r="R177">
        <v>1125</v>
      </c>
      <c r="S177">
        <v>501</v>
      </c>
      <c r="T177" t="s">
        <v>11</v>
      </c>
    </row>
    <row r="178" spans="1:20" x14ac:dyDescent="0.25">
      <c r="A178" s="37" t="s">
        <v>424</v>
      </c>
      <c r="B178" t="s">
        <v>425</v>
      </c>
      <c r="C178">
        <v>442</v>
      </c>
      <c r="D178" t="s">
        <v>11</v>
      </c>
      <c r="E178" t="s">
        <v>11</v>
      </c>
      <c r="F178" s="70"/>
      <c r="G178" s="3"/>
      <c r="H178" s="3"/>
      <c r="I178" s="38">
        <f>VLOOKUP(A178,$O$5:$R$279,4,0)</f>
        <v>2091</v>
      </c>
      <c r="J178" s="70">
        <v>1761</v>
      </c>
      <c r="K178" s="3">
        <v>39</v>
      </c>
      <c r="L178" s="3">
        <v>901</v>
      </c>
      <c r="M178" s="38">
        <f>SUM(J178:L178)</f>
        <v>2701</v>
      </c>
      <c r="N178" s="67"/>
      <c r="O178" t="s">
        <v>236</v>
      </c>
      <c r="P178" t="s">
        <v>237</v>
      </c>
      <c r="Q178">
        <v>173</v>
      </c>
      <c r="R178">
        <v>1160</v>
      </c>
      <c r="S178">
        <v>504</v>
      </c>
      <c r="T178" t="s">
        <v>11</v>
      </c>
    </row>
    <row r="179" spans="1:20" x14ac:dyDescent="0.25">
      <c r="A179" s="37" t="s">
        <v>229</v>
      </c>
      <c r="B179" t="s">
        <v>230</v>
      </c>
      <c r="C179">
        <v>451</v>
      </c>
      <c r="D179" t="s">
        <v>11</v>
      </c>
      <c r="E179" t="s">
        <v>11</v>
      </c>
      <c r="F179" s="70"/>
      <c r="G179" s="3"/>
      <c r="H179" s="3"/>
      <c r="I179" s="38">
        <f>VLOOKUP(A179,$O$5:$R$279,4,0)</f>
        <v>49</v>
      </c>
      <c r="J179" s="70">
        <v>63</v>
      </c>
      <c r="K179" s="3">
        <v>1</v>
      </c>
      <c r="L179" s="3">
        <v>0</v>
      </c>
      <c r="M179" s="38">
        <f>SUM(J179:L179)</f>
        <v>64</v>
      </c>
      <c r="N179" s="67"/>
      <c r="O179" t="s">
        <v>240</v>
      </c>
      <c r="P179" t="s">
        <v>241</v>
      </c>
      <c r="Q179">
        <v>174</v>
      </c>
      <c r="R179">
        <v>471</v>
      </c>
      <c r="S179">
        <v>505</v>
      </c>
      <c r="T179" t="s">
        <v>11</v>
      </c>
    </row>
    <row r="180" spans="1:20" x14ac:dyDescent="0.25">
      <c r="A180" s="37" t="s">
        <v>428</v>
      </c>
      <c r="B180" t="s">
        <v>429</v>
      </c>
      <c r="C180">
        <v>455</v>
      </c>
      <c r="D180" t="s">
        <v>11</v>
      </c>
      <c r="E180" t="s">
        <v>11</v>
      </c>
      <c r="F180" s="70"/>
      <c r="G180" s="3"/>
      <c r="H180" s="3"/>
      <c r="I180" s="38">
        <f>VLOOKUP(A180,$O$5:$R$279,4,0)</f>
        <v>3904</v>
      </c>
      <c r="J180" s="70">
        <v>3743</v>
      </c>
      <c r="K180" s="3">
        <v>15</v>
      </c>
      <c r="L180" s="3">
        <v>25</v>
      </c>
      <c r="M180" s="38">
        <f>SUM(J180:L180)</f>
        <v>3783</v>
      </c>
      <c r="N180" s="67"/>
      <c r="O180" t="s">
        <v>432</v>
      </c>
      <c r="P180" t="s">
        <v>433</v>
      </c>
      <c r="Q180">
        <v>175</v>
      </c>
      <c r="R180">
        <v>526</v>
      </c>
      <c r="S180">
        <v>553</v>
      </c>
      <c r="T180" t="s">
        <v>11</v>
      </c>
    </row>
    <row r="181" spans="1:20" x14ac:dyDescent="0.25">
      <c r="A181" s="37" t="s">
        <v>430</v>
      </c>
      <c r="B181" t="s">
        <v>431</v>
      </c>
      <c r="C181">
        <v>456</v>
      </c>
      <c r="D181" t="s">
        <v>11</v>
      </c>
      <c r="E181" t="s">
        <v>11</v>
      </c>
      <c r="F181" s="70"/>
      <c r="G181" s="3"/>
      <c r="H181" s="3"/>
      <c r="I181" s="38">
        <f>VLOOKUP(A181,$O$5:$R$279,4,0)</f>
        <v>141</v>
      </c>
      <c r="J181" s="70">
        <v>0</v>
      </c>
      <c r="K181" s="3">
        <v>0</v>
      </c>
      <c r="L181" s="3">
        <v>0</v>
      </c>
      <c r="M181" s="38">
        <f>SUM(J181:L181)</f>
        <v>0</v>
      </c>
      <c r="N181" s="67"/>
      <c r="O181" t="s">
        <v>434</v>
      </c>
      <c r="P181" t="s">
        <v>435</v>
      </c>
      <c r="Q181">
        <v>176</v>
      </c>
      <c r="R181">
        <v>116</v>
      </c>
      <c r="S181">
        <v>554</v>
      </c>
      <c r="T181" t="s">
        <v>11</v>
      </c>
    </row>
    <row r="182" spans="1:20" x14ac:dyDescent="0.25">
      <c r="A182" s="37" t="s">
        <v>432</v>
      </c>
      <c r="B182" t="s">
        <v>433</v>
      </c>
      <c r="C182">
        <v>553</v>
      </c>
      <c r="D182" t="s">
        <v>11</v>
      </c>
      <c r="E182" t="s">
        <v>11</v>
      </c>
      <c r="F182" s="70"/>
      <c r="G182" s="3"/>
      <c r="H182" s="3"/>
      <c r="I182" s="38">
        <f>VLOOKUP(A182,$O$5:$R$279,4,0)</f>
        <v>526</v>
      </c>
      <c r="J182" s="70">
        <v>0</v>
      </c>
      <c r="K182" s="3">
        <v>0</v>
      </c>
      <c r="L182" s="3">
        <v>0</v>
      </c>
      <c r="M182" s="38">
        <f>SUM(J182:L182)</f>
        <v>0</v>
      </c>
      <c r="N182" s="67"/>
      <c r="O182" t="s">
        <v>244</v>
      </c>
      <c r="P182" t="s">
        <v>245</v>
      </c>
      <c r="Q182">
        <v>177</v>
      </c>
      <c r="R182">
        <v>119</v>
      </c>
      <c r="S182">
        <v>556</v>
      </c>
      <c r="T182" t="s">
        <v>11</v>
      </c>
    </row>
    <row r="183" spans="1:20" x14ac:dyDescent="0.25">
      <c r="A183" s="37" t="s">
        <v>434</v>
      </c>
      <c r="B183" t="s">
        <v>435</v>
      </c>
      <c r="C183">
        <v>554</v>
      </c>
      <c r="D183" t="s">
        <v>11</v>
      </c>
      <c r="E183" t="s">
        <v>11</v>
      </c>
      <c r="F183" s="70"/>
      <c r="G183" s="3"/>
      <c r="H183" s="3"/>
      <c r="I183" s="38">
        <f>VLOOKUP(A183,$O$5:$R$279,4,0)</f>
        <v>116</v>
      </c>
      <c r="J183" s="70">
        <v>0</v>
      </c>
      <c r="K183" s="3">
        <v>0</v>
      </c>
      <c r="L183" s="3">
        <v>0</v>
      </c>
      <c r="M183" s="38">
        <f>SUM(J183:L183)</f>
        <v>0</v>
      </c>
      <c r="N183" s="67"/>
      <c r="O183" t="s">
        <v>248</v>
      </c>
      <c r="P183" t="s">
        <v>249</v>
      </c>
      <c r="Q183">
        <v>178</v>
      </c>
      <c r="R183">
        <v>108</v>
      </c>
      <c r="S183">
        <v>558</v>
      </c>
      <c r="T183" t="s">
        <v>11</v>
      </c>
    </row>
    <row r="184" spans="1:20" x14ac:dyDescent="0.25">
      <c r="A184" s="37" t="s">
        <v>244</v>
      </c>
      <c r="B184" t="s">
        <v>245</v>
      </c>
      <c r="C184">
        <v>556</v>
      </c>
      <c r="D184" t="s">
        <v>11</v>
      </c>
      <c r="E184" t="s">
        <v>11</v>
      </c>
      <c r="F184" s="70"/>
      <c r="G184" s="3"/>
      <c r="H184" s="3"/>
      <c r="I184" s="38">
        <f>VLOOKUP(A184,$O$5:$R$279,4,0)</f>
        <v>119</v>
      </c>
      <c r="J184" s="70">
        <v>0</v>
      </c>
      <c r="K184" s="3">
        <v>0</v>
      </c>
      <c r="L184" s="3">
        <v>0</v>
      </c>
      <c r="M184" s="38">
        <f>SUM(J184:L184)</f>
        <v>0</v>
      </c>
      <c r="N184" s="67"/>
      <c r="O184" t="s">
        <v>147</v>
      </c>
      <c r="P184" t="s">
        <v>148</v>
      </c>
      <c r="Q184">
        <v>179</v>
      </c>
      <c r="R184">
        <v>934</v>
      </c>
      <c r="S184">
        <v>708</v>
      </c>
      <c r="T184" t="s">
        <v>11</v>
      </c>
    </row>
    <row r="185" spans="1:20" x14ac:dyDescent="0.25">
      <c r="A185" s="37" t="s">
        <v>248</v>
      </c>
      <c r="B185" t="s">
        <v>249</v>
      </c>
      <c r="C185">
        <v>558</v>
      </c>
      <c r="D185" t="s">
        <v>11</v>
      </c>
      <c r="E185" t="s">
        <v>11</v>
      </c>
      <c r="F185" s="70"/>
      <c r="G185" s="3"/>
      <c r="H185" s="3"/>
      <c r="I185" s="38">
        <f>VLOOKUP(A185,$O$5:$R$279,4,0)</f>
        <v>108</v>
      </c>
      <c r="J185" s="70">
        <v>0</v>
      </c>
      <c r="K185" s="3">
        <v>0</v>
      </c>
      <c r="L185" s="3">
        <v>0</v>
      </c>
      <c r="M185" s="38">
        <f>SUM(J185:L185)</f>
        <v>0</v>
      </c>
      <c r="N185" s="67"/>
      <c r="O185" t="s">
        <v>436</v>
      </c>
      <c r="P185" t="s">
        <v>437</v>
      </c>
      <c r="Q185">
        <v>180</v>
      </c>
      <c r="R185">
        <v>1521</v>
      </c>
      <c r="S185">
        <v>712</v>
      </c>
      <c r="T185" t="s">
        <v>11</v>
      </c>
    </row>
    <row r="186" spans="1:20" x14ac:dyDescent="0.25">
      <c r="A186" s="37" t="s">
        <v>147</v>
      </c>
      <c r="B186" t="s">
        <v>148</v>
      </c>
      <c r="C186">
        <v>708</v>
      </c>
      <c r="D186" t="s">
        <v>11</v>
      </c>
      <c r="E186" t="s">
        <v>11</v>
      </c>
      <c r="F186" s="70"/>
      <c r="G186" s="3"/>
      <c r="H186" s="3"/>
      <c r="I186" s="38">
        <f>VLOOKUP(A186,$O$5:$R$279,4,0)</f>
        <v>934</v>
      </c>
      <c r="J186" s="70">
        <v>0</v>
      </c>
      <c r="K186" s="3">
        <v>0</v>
      </c>
      <c r="L186" s="3">
        <v>0</v>
      </c>
      <c r="M186" s="38">
        <f>SUM(J186:L186)</f>
        <v>0</v>
      </c>
      <c r="N186" s="67"/>
      <c r="O186" t="s">
        <v>438</v>
      </c>
      <c r="P186" t="s">
        <v>439</v>
      </c>
      <c r="Q186">
        <v>181</v>
      </c>
      <c r="R186">
        <v>1011</v>
      </c>
      <c r="S186">
        <v>713</v>
      </c>
      <c r="T186" t="s">
        <v>11</v>
      </c>
    </row>
    <row r="187" spans="1:20" x14ac:dyDescent="0.25">
      <c r="A187" s="37" t="s">
        <v>436</v>
      </c>
      <c r="B187" t="s">
        <v>437</v>
      </c>
      <c r="C187">
        <v>712</v>
      </c>
      <c r="D187" t="s">
        <v>11</v>
      </c>
      <c r="E187" t="s">
        <v>11</v>
      </c>
      <c r="F187" s="70"/>
      <c r="G187" s="3"/>
      <c r="H187" s="3"/>
      <c r="I187" s="38">
        <f>VLOOKUP(A187,$O$5:$R$279,4,0)</f>
        <v>1521</v>
      </c>
      <c r="J187" s="70">
        <v>0</v>
      </c>
      <c r="K187" s="3">
        <v>0</v>
      </c>
      <c r="L187" s="3">
        <v>0</v>
      </c>
      <c r="M187" s="38">
        <f>SUM(J187:L187)</f>
        <v>0</v>
      </c>
      <c r="N187" s="67"/>
      <c r="O187" t="s">
        <v>440</v>
      </c>
      <c r="P187" t="s">
        <v>682</v>
      </c>
      <c r="Q187">
        <v>182</v>
      </c>
      <c r="R187">
        <v>0</v>
      </c>
      <c r="S187">
        <v>714</v>
      </c>
      <c r="T187" t="s">
        <v>11</v>
      </c>
    </row>
    <row r="188" spans="1:20" x14ac:dyDescent="0.25">
      <c r="A188" s="37" t="s">
        <v>438</v>
      </c>
      <c r="B188" t="s">
        <v>439</v>
      </c>
      <c r="C188">
        <v>713</v>
      </c>
      <c r="D188" t="s">
        <v>11</v>
      </c>
      <c r="E188" t="s">
        <v>11</v>
      </c>
      <c r="F188" s="70"/>
      <c r="G188" s="3"/>
      <c r="H188" s="3"/>
      <c r="I188" s="38">
        <f>VLOOKUP(A188,$O$5:$R$279,4,0)</f>
        <v>1011</v>
      </c>
      <c r="J188" s="70">
        <v>0</v>
      </c>
      <c r="K188" s="3">
        <v>0</v>
      </c>
      <c r="L188" s="3">
        <v>0</v>
      </c>
      <c r="M188" s="38">
        <f>SUM(J188:L188)</f>
        <v>0</v>
      </c>
      <c r="N188" s="67"/>
      <c r="O188" t="s">
        <v>442</v>
      </c>
      <c r="P188" t="s">
        <v>443</v>
      </c>
      <c r="Q188">
        <v>183</v>
      </c>
      <c r="R188">
        <v>0</v>
      </c>
      <c r="S188">
        <v>716</v>
      </c>
      <c r="T188" t="s">
        <v>11</v>
      </c>
    </row>
    <row r="189" spans="1:20" x14ac:dyDescent="0.25">
      <c r="A189" s="37" t="s">
        <v>440</v>
      </c>
      <c r="B189" t="s">
        <v>441</v>
      </c>
      <c r="C189">
        <v>714</v>
      </c>
      <c r="D189" t="s">
        <v>11</v>
      </c>
      <c r="E189" t="s">
        <v>11</v>
      </c>
      <c r="F189" s="70"/>
      <c r="G189" s="3"/>
      <c r="H189" s="3"/>
      <c r="I189" s="38">
        <f>VLOOKUP(A189,$O$5:$R$279,4,0)</f>
        <v>0</v>
      </c>
      <c r="J189" s="70">
        <v>105</v>
      </c>
      <c r="K189" s="3">
        <v>1</v>
      </c>
      <c r="L189" s="3">
        <v>0</v>
      </c>
      <c r="M189" s="38">
        <f>SUM(J189:L189)</f>
        <v>106</v>
      </c>
      <c r="N189" s="67"/>
      <c r="O189" t="s">
        <v>145</v>
      </c>
      <c r="P189" t="s">
        <v>146</v>
      </c>
      <c r="Q189">
        <v>184</v>
      </c>
      <c r="R189">
        <v>1774</v>
      </c>
      <c r="S189">
        <v>747</v>
      </c>
      <c r="T189" t="s">
        <v>11</v>
      </c>
    </row>
    <row r="190" spans="1:20" x14ac:dyDescent="0.25">
      <c r="A190" s="37" t="s">
        <v>442</v>
      </c>
      <c r="B190" t="s">
        <v>443</v>
      </c>
      <c r="C190">
        <v>716</v>
      </c>
      <c r="D190" t="s">
        <v>11</v>
      </c>
      <c r="E190" t="s">
        <v>11</v>
      </c>
      <c r="F190" s="70"/>
      <c r="G190" s="3"/>
      <c r="H190" s="3"/>
      <c r="I190" s="38">
        <f>VLOOKUP(A190,$O$5:$R$279,4,0)</f>
        <v>0</v>
      </c>
      <c r="J190" s="70">
        <v>170</v>
      </c>
      <c r="K190" s="3">
        <v>9</v>
      </c>
      <c r="L190" s="3">
        <v>4</v>
      </c>
      <c r="M190" s="38">
        <f>SUM(J190:L190)</f>
        <v>183</v>
      </c>
      <c r="N190" s="67"/>
      <c r="O190" t="s">
        <v>444</v>
      </c>
      <c r="P190" t="s">
        <v>445</v>
      </c>
      <c r="Q190">
        <v>185</v>
      </c>
      <c r="R190">
        <v>0</v>
      </c>
      <c r="S190" t="s">
        <v>448</v>
      </c>
      <c r="T190" t="s">
        <v>11</v>
      </c>
    </row>
    <row r="191" spans="1:20" x14ac:dyDescent="0.25">
      <c r="A191" s="37" t="s">
        <v>145</v>
      </c>
      <c r="B191" t="s">
        <v>146</v>
      </c>
      <c r="C191">
        <v>747</v>
      </c>
      <c r="D191" t="s">
        <v>11</v>
      </c>
      <c r="E191" t="s">
        <v>11</v>
      </c>
      <c r="F191" s="70"/>
      <c r="G191" s="3"/>
      <c r="H191" s="3"/>
      <c r="I191" s="38">
        <f>VLOOKUP(A191,$O$5:$R$279,4,0)</f>
        <v>1774</v>
      </c>
      <c r="J191" s="70">
        <v>0</v>
      </c>
      <c r="K191" s="3">
        <v>0</v>
      </c>
      <c r="L191" s="3">
        <v>0</v>
      </c>
      <c r="M191" s="38">
        <f>SUM(J191:L191)</f>
        <v>0</v>
      </c>
      <c r="N191" s="67"/>
      <c r="O191" t="s">
        <v>446</v>
      </c>
      <c r="P191" t="s">
        <v>683</v>
      </c>
      <c r="Q191">
        <v>190</v>
      </c>
      <c r="R191">
        <v>633</v>
      </c>
      <c r="S191">
        <v>18741</v>
      </c>
      <c r="T191" t="s">
        <v>451</v>
      </c>
    </row>
    <row r="192" spans="1:20" ht="15.75" thickBot="1" x14ac:dyDescent="0.3">
      <c r="A192" s="41" t="s">
        <v>444</v>
      </c>
      <c r="B192" s="13" t="s">
        <v>445</v>
      </c>
      <c r="C192" s="13" t="s">
        <v>448</v>
      </c>
      <c r="D192" s="13" t="s">
        <v>11</v>
      </c>
      <c r="E192" s="13" t="s">
        <v>11</v>
      </c>
      <c r="F192" s="77"/>
      <c r="G192" s="32"/>
      <c r="H192" s="32"/>
      <c r="I192" s="52">
        <f>VLOOKUP(A192,$O$5:$R$279,4,0)</f>
        <v>0</v>
      </c>
      <c r="J192" s="77" t="s">
        <v>690</v>
      </c>
      <c r="K192" s="32" t="s">
        <v>690</v>
      </c>
      <c r="L192" s="32" t="s">
        <v>690</v>
      </c>
      <c r="M192" s="52">
        <f>SUM(J192:L192)</f>
        <v>0</v>
      </c>
      <c r="N192" s="67"/>
      <c r="O192" t="s">
        <v>449</v>
      </c>
      <c r="P192" t="s">
        <v>450</v>
      </c>
      <c r="Q192">
        <v>190</v>
      </c>
      <c r="R192">
        <v>0</v>
      </c>
      <c r="S192">
        <v>2848</v>
      </c>
      <c r="T192" t="s">
        <v>451</v>
      </c>
    </row>
    <row r="193" spans="1:20" x14ac:dyDescent="0.25">
      <c r="A193" s="36" t="s">
        <v>446</v>
      </c>
      <c r="B193" s="11" t="s">
        <v>447</v>
      </c>
      <c r="C193" s="11">
        <v>18741</v>
      </c>
      <c r="D193" s="11" t="s">
        <v>451</v>
      </c>
      <c r="E193" s="11" t="s">
        <v>13</v>
      </c>
      <c r="F193" s="76"/>
      <c r="G193" s="50"/>
      <c r="H193" s="50"/>
      <c r="I193" s="51">
        <f>VLOOKUP(A193,$O$5:$R$279,4,0)</f>
        <v>633</v>
      </c>
      <c r="J193" s="76" t="s">
        <v>690</v>
      </c>
      <c r="K193" s="50" t="s">
        <v>690</v>
      </c>
      <c r="L193" s="50" t="s">
        <v>690</v>
      </c>
      <c r="M193" s="51">
        <f>SUM(J193:L193)</f>
        <v>0</v>
      </c>
      <c r="N193" s="67"/>
      <c r="O193" t="s">
        <v>452</v>
      </c>
      <c r="P193" t="s">
        <v>453</v>
      </c>
      <c r="Q193">
        <v>190</v>
      </c>
      <c r="R193">
        <v>0</v>
      </c>
      <c r="S193">
        <v>18720</v>
      </c>
      <c r="T193" t="s">
        <v>451</v>
      </c>
    </row>
    <row r="194" spans="1:20" x14ac:dyDescent="0.25">
      <c r="A194" s="37" t="s">
        <v>449</v>
      </c>
      <c r="B194" t="s">
        <v>450</v>
      </c>
      <c r="C194">
        <v>2848</v>
      </c>
      <c r="D194" t="s">
        <v>451</v>
      </c>
      <c r="E194" t="s">
        <v>13</v>
      </c>
      <c r="F194" s="70"/>
      <c r="G194" s="3"/>
      <c r="H194" s="3"/>
      <c r="I194" s="38">
        <f>VLOOKUP(A194,$O$5:$R$279,4,0)</f>
        <v>0</v>
      </c>
      <c r="J194" s="70">
        <v>25</v>
      </c>
      <c r="K194" s="3">
        <v>0</v>
      </c>
      <c r="L194" s="3">
        <v>0</v>
      </c>
      <c r="M194" s="38">
        <f>SUM(J194:L194)</f>
        <v>25</v>
      </c>
      <c r="N194" s="67"/>
      <c r="O194" t="s">
        <v>454</v>
      </c>
      <c r="P194" t="s">
        <v>455</v>
      </c>
      <c r="Q194">
        <v>190</v>
      </c>
      <c r="R194">
        <v>0</v>
      </c>
      <c r="S194">
        <v>2851</v>
      </c>
      <c r="T194" t="s">
        <v>451</v>
      </c>
    </row>
    <row r="195" spans="1:20" x14ac:dyDescent="0.25">
      <c r="A195" s="37" t="s">
        <v>452</v>
      </c>
      <c r="B195" t="s">
        <v>453</v>
      </c>
      <c r="C195">
        <v>18720</v>
      </c>
      <c r="D195" t="s">
        <v>451</v>
      </c>
      <c r="E195" t="s">
        <v>13</v>
      </c>
      <c r="F195" s="70"/>
      <c r="G195" s="3"/>
      <c r="H195" s="3"/>
      <c r="I195" s="38">
        <f>VLOOKUP(A195,$O$5:$R$279,4,0)</f>
        <v>0</v>
      </c>
      <c r="J195" s="70">
        <v>2</v>
      </c>
      <c r="K195" s="3">
        <v>0</v>
      </c>
      <c r="L195" s="3">
        <v>0</v>
      </c>
      <c r="M195" s="38">
        <f>SUM(J195:L195)</f>
        <v>2</v>
      </c>
      <c r="N195" s="67"/>
      <c r="O195" t="s">
        <v>456</v>
      </c>
      <c r="P195" t="s">
        <v>457</v>
      </c>
      <c r="Q195">
        <v>190</v>
      </c>
      <c r="R195">
        <v>0</v>
      </c>
      <c r="S195">
        <v>2856</v>
      </c>
      <c r="T195" t="s">
        <v>451</v>
      </c>
    </row>
    <row r="196" spans="1:20" x14ac:dyDescent="0.25">
      <c r="A196" s="37" t="s">
        <v>454</v>
      </c>
      <c r="B196" t="s">
        <v>455</v>
      </c>
      <c r="C196">
        <v>2851</v>
      </c>
      <c r="D196" t="s">
        <v>451</v>
      </c>
      <c r="E196" t="s">
        <v>13</v>
      </c>
      <c r="F196" s="70"/>
      <c r="G196" s="3"/>
      <c r="H196" s="3"/>
      <c r="I196" s="38">
        <f>VLOOKUP(A196,$O$5:$R$279,4,0)</f>
        <v>0</v>
      </c>
      <c r="J196" s="70" t="s">
        <v>690</v>
      </c>
      <c r="K196" s="3" t="s">
        <v>690</v>
      </c>
      <c r="L196" s="3" t="s">
        <v>690</v>
      </c>
      <c r="M196" s="38">
        <f>SUM(J196:L196)</f>
        <v>0</v>
      </c>
      <c r="N196" s="67"/>
      <c r="O196" t="s">
        <v>458</v>
      </c>
      <c r="P196" t="s">
        <v>459</v>
      </c>
      <c r="Q196">
        <v>190</v>
      </c>
      <c r="R196">
        <v>0</v>
      </c>
      <c r="S196">
        <v>3240</v>
      </c>
      <c r="T196" t="s">
        <v>451</v>
      </c>
    </row>
    <row r="197" spans="1:20" x14ac:dyDescent="0.25">
      <c r="A197" s="37" t="s">
        <v>456</v>
      </c>
      <c r="B197" t="s">
        <v>457</v>
      </c>
      <c r="C197">
        <v>2856</v>
      </c>
      <c r="D197" t="s">
        <v>451</v>
      </c>
      <c r="E197" t="s">
        <v>13</v>
      </c>
      <c r="F197" s="70"/>
      <c r="G197" s="3"/>
      <c r="H197" s="3"/>
      <c r="I197" s="38">
        <f>VLOOKUP(A197,$O$5:$R$279,4,0)</f>
        <v>0</v>
      </c>
      <c r="J197" s="70" t="s">
        <v>690</v>
      </c>
      <c r="K197" s="3" t="s">
        <v>690</v>
      </c>
      <c r="L197" s="3" t="s">
        <v>690</v>
      </c>
      <c r="M197" s="38">
        <f>SUM(J197:L197)</f>
        <v>0</v>
      </c>
      <c r="N197" s="67"/>
      <c r="O197" t="s">
        <v>460</v>
      </c>
      <c r="P197" t="s">
        <v>684</v>
      </c>
      <c r="Q197">
        <v>190</v>
      </c>
      <c r="R197">
        <v>0</v>
      </c>
      <c r="S197">
        <v>18743</v>
      </c>
      <c r="T197" t="s">
        <v>451</v>
      </c>
    </row>
    <row r="198" spans="1:20" x14ac:dyDescent="0.25">
      <c r="A198" s="37" t="s">
        <v>458</v>
      </c>
      <c r="B198" t="s">
        <v>459</v>
      </c>
      <c r="C198">
        <v>3240</v>
      </c>
      <c r="D198" t="s">
        <v>451</v>
      </c>
      <c r="E198" t="s">
        <v>13</v>
      </c>
      <c r="F198" s="70"/>
      <c r="G198" s="3"/>
      <c r="H198" s="3"/>
      <c r="I198" s="38">
        <f>VLOOKUP(A198,$O$5:$R$279,4,0)</f>
        <v>0</v>
      </c>
      <c r="J198" s="70" t="s">
        <v>690</v>
      </c>
      <c r="K198" s="3" t="s">
        <v>690</v>
      </c>
      <c r="L198" s="3" t="s">
        <v>690</v>
      </c>
      <c r="M198" s="38">
        <f>SUM(J198:L198)</f>
        <v>0</v>
      </c>
      <c r="N198" s="67"/>
      <c r="O198" t="s">
        <v>462</v>
      </c>
      <c r="P198" t="s">
        <v>685</v>
      </c>
      <c r="Q198">
        <v>190</v>
      </c>
      <c r="R198">
        <v>0</v>
      </c>
      <c r="S198">
        <v>18742</v>
      </c>
      <c r="T198" t="s">
        <v>451</v>
      </c>
    </row>
    <row r="199" spans="1:20" x14ac:dyDescent="0.25">
      <c r="A199" s="37" t="s">
        <v>460</v>
      </c>
      <c r="B199" t="s">
        <v>461</v>
      </c>
      <c r="C199">
        <v>18743</v>
      </c>
      <c r="D199" t="s">
        <v>451</v>
      </c>
      <c r="E199" t="s">
        <v>13</v>
      </c>
      <c r="F199" s="70"/>
      <c r="G199" s="3"/>
      <c r="H199" s="3"/>
      <c r="I199" s="38">
        <f>VLOOKUP(A199,$O$5:$R$279,4,0)</f>
        <v>0</v>
      </c>
      <c r="J199" s="70" t="s">
        <v>690</v>
      </c>
      <c r="K199" s="3" t="s">
        <v>690</v>
      </c>
      <c r="L199" s="3" t="s">
        <v>690</v>
      </c>
      <c r="M199" s="38">
        <f>SUM(J199:L199)</f>
        <v>0</v>
      </c>
      <c r="N199" s="67"/>
      <c r="O199" t="s">
        <v>464</v>
      </c>
      <c r="P199" t="s">
        <v>686</v>
      </c>
      <c r="Q199">
        <v>190</v>
      </c>
      <c r="R199">
        <v>0</v>
      </c>
      <c r="S199">
        <v>18744</v>
      </c>
      <c r="T199" t="s">
        <v>451</v>
      </c>
    </row>
    <row r="200" spans="1:20" x14ac:dyDescent="0.25">
      <c r="A200" s="37" t="s">
        <v>462</v>
      </c>
      <c r="B200" t="s">
        <v>463</v>
      </c>
      <c r="C200">
        <v>18742</v>
      </c>
      <c r="D200" t="s">
        <v>451</v>
      </c>
      <c r="E200" t="s">
        <v>13</v>
      </c>
      <c r="F200" s="70"/>
      <c r="G200" s="3"/>
      <c r="H200" s="3"/>
      <c r="I200" s="38">
        <f>VLOOKUP(A200,$O$5:$R$279,4,0)</f>
        <v>0</v>
      </c>
      <c r="J200" s="70" t="s">
        <v>690</v>
      </c>
      <c r="K200" s="3" t="s">
        <v>690</v>
      </c>
      <c r="L200" s="3" t="s">
        <v>690</v>
      </c>
      <c r="M200" s="38">
        <f>SUM(J200:L200)</f>
        <v>0</v>
      </c>
      <c r="N200" s="67"/>
      <c r="O200" t="s">
        <v>466</v>
      </c>
      <c r="P200" t="s">
        <v>467</v>
      </c>
      <c r="Q200">
        <v>190</v>
      </c>
      <c r="R200">
        <v>0</v>
      </c>
      <c r="S200">
        <v>18745</v>
      </c>
      <c r="T200" t="s">
        <v>451</v>
      </c>
    </row>
    <row r="201" spans="1:20" x14ac:dyDescent="0.25">
      <c r="A201" s="37" t="s">
        <v>464</v>
      </c>
      <c r="B201" t="s">
        <v>465</v>
      </c>
      <c r="C201">
        <v>18744</v>
      </c>
      <c r="D201" t="s">
        <v>451</v>
      </c>
      <c r="E201" t="s">
        <v>13</v>
      </c>
      <c r="F201" s="70"/>
      <c r="G201" s="3"/>
      <c r="H201" s="3"/>
      <c r="I201" s="38">
        <f>VLOOKUP(A201,$O$5:$R$279,4,0)</f>
        <v>0</v>
      </c>
      <c r="J201" s="70" t="s">
        <v>690</v>
      </c>
      <c r="K201" s="3" t="s">
        <v>690</v>
      </c>
      <c r="L201" s="3" t="s">
        <v>690</v>
      </c>
      <c r="M201" s="38">
        <f>SUM(J201:L201)</f>
        <v>0</v>
      </c>
      <c r="N201" s="67"/>
      <c r="O201" t="s">
        <v>468</v>
      </c>
      <c r="P201" t="s">
        <v>687</v>
      </c>
      <c r="Q201">
        <v>190</v>
      </c>
      <c r="R201">
        <v>0</v>
      </c>
      <c r="S201">
        <v>18746</v>
      </c>
      <c r="T201" t="s">
        <v>451</v>
      </c>
    </row>
    <row r="202" spans="1:20" x14ac:dyDescent="0.25">
      <c r="A202" s="37" t="s">
        <v>466</v>
      </c>
      <c r="B202" t="s">
        <v>467</v>
      </c>
      <c r="C202">
        <v>18745</v>
      </c>
      <c r="D202" t="s">
        <v>451</v>
      </c>
      <c r="E202" t="s">
        <v>13</v>
      </c>
      <c r="F202" s="70"/>
      <c r="G202" s="3"/>
      <c r="H202" s="3"/>
      <c r="I202" s="38">
        <f>VLOOKUP(A202,$O$5:$R$279,4,0)</f>
        <v>0</v>
      </c>
      <c r="J202" s="70" t="s">
        <v>690</v>
      </c>
      <c r="K202" s="3" t="s">
        <v>690</v>
      </c>
      <c r="L202" s="3" t="s">
        <v>690</v>
      </c>
      <c r="M202" s="38">
        <f>SUM(J202:L202)</f>
        <v>0</v>
      </c>
      <c r="N202" s="67"/>
      <c r="O202" t="s">
        <v>470</v>
      </c>
      <c r="P202" t="s">
        <v>471</v>
      </c>
      <c r="Q202">
        <v>190</v>
      </c>
      <c r="R202">
        <v>0</v>
      </c>
      <c r="S202">
        <v>18747</v>
      </c>
      <c r="T202" t="s">
        <v>451</v>
      </c>
    </row>
    <row r="203" spans="1:20" x14ac:dyDescent="0.25">
      <c r="A203" s="37" t="s">
        <v>468</v>
      </c>
      <c r="B203" t="s">
        <v>469</v>
      </c>
      <c r="C203">
        <v>18746</v>
      </c>
      <c r="D203" t="s">
        <v>451</v>
      </c>
      <c r="E203" t="s">
        <v>13</v>
      </c>
      <c r="F203" s="70"/>
      <c r="G203" s="3"/>
      <c r="H203" s="3"/>
      <c r="I203" s="38">
        <f>VLOOKUP(A203,$O$5:$R$279,4,0)</f>
        <v>0</v>
      </c>
      <c r="J203" s="70" t="s">
        <v>690</v>
      </c>
      <c r="K203" s="3" t="s">
        <v>690</v>
      </c>
      <c r="L203" s="3" t="s">
        <v>690</v>
      </c>
      <c r="M203" s="38">
        <f>SUM(J203:L203)</f>
        <v>0</v>
      </c>
      <c r="N203" s="67"/>
      <c r="O203" t="s">
        <v>472</v>
      </c>
      <c r="P203" t="s">
        <v>473</v>
      </c>
      <c r="Q203">
        <v>190</v>
      </c>
      <c r="R203">
        <v>0</v>
      </c>
      <c r="S203">
        <v>2843</v>
      </c>
      <c r="T203" t="s">
        <v>451</v>
      </c>
    </row>
    <row r="204" spans="1:20" x14ac:dyDescent="0.25">
      <c r="A204" s="37" t="s">
        <v>470</v>
      </c>
      <c r="B204" t="s">
        <v>471</v>
      </c>
      <c r="C204">
        <v>18747</v>
      </c>
      <c r="D204" t="s">
        <v>451</v>
      </c>
      <c r="E204" t="s">
        <v>13</v>
      </c>
      <c r="F204" s="70"/>
      <c r="G204" s="3"/>
      <c r="H204" s="3"/>
      <c r="I204" s="38">
        <f>VLOOKUP(A204,$O$5:$R$279,4,0)</f>
        <v>0</v>
      </c>
      <c r="J204" s="70" t="s">
        <v>690</v>
      </c>
      <c r="K204" s="3" t="s">
        <v>690</v>
      </c>
      <c r="L204" s="3" t="s">
        <v>690</v>
      </c>
      <c r="M204" s="38">
        <f>SUM(J204:L204)</f>
        <v>0</v>
      </c>
      <c r="N204" s="67"/>
      <c r="O204" t="s">
        <v>474</v>
      </c>
      <c r="P204" t="s">
        <v>475</v>
      </c>
      <c r="Q204">
        <v>190</v>
      </c>
      <c r="R204">
        <v>0</v>
      </c>
      <c r="S204">
        <v>18748</v>
      </c>
      <c r="T204" t="s">
        <v>451</v>
      </c>
    </row>
    <row r="205" spans="1:20" x14ac:dyDescent="0.25">
      <c r="A205" s="37" t="s">
        <v>472</v>
      </c>
      <c r="B205" t="s">
        <v>473</v>
      </c>
      <c r="C205">
        <v>2843</v>
      </c>
      <c r="D205" t="s">
        <v>451</v>
      </c>
      <c r="E205" t="s">
        <v>13</v>
      </c>
      <c r="F205" s="70"/>
      <c r="G205" s="3"/>
      <c r="H205" s="3"/>
      <c r="I205" s="38">
        <f>VLOOKUP(A205,$O$5:$R$279,4,0)</f>
        <v>0</v>
      </c>
      <c r="J205" s="70">
        <v>194</v>
      </c>
      <c r="K205" s="3">
        <v>1</v>
      </c>
      <c r="L205" s="3">
        <v>1</v>
      </c>
      <c r="M205" s="38">
        <f>SUM(J205:L205)</f>
        <v>196</v>
      </c>
      <c r="N205" s="67"/>
      <c r="O205" t="s">
        <v>476</v>
      </c>
      <c r="P205" t="s">
        <v>477</v>
      </c>
      <c r="Q205">
        <v>190</v>
      </c>
      <c r="R205">
        <v>0</v>
      </c>
      <c r="S205">
        <v>77118</v>
      </c>
      <c r="T205" t="s">
        <v>451</v>
      </c>
    </row>
    <row r="206" spans="1:20" x14ac:dyDescent="0.25">
      <c r="A206" s="37" t="s">
        <v>474</v>
      </c>
      <c r="B206" t="s">
        <v>475</v>
      </c>
      <c r="C206">
        <v>18748</v>
      </c>
      <c r="D206" t="s">
        <v>451</v>
      </c>
      <c r="E206" t="s">
        <v>13</v>
      </c>
      <c r="F206" s="70"/>
      <c r="G206" s="3"/>
      <c r="H206" s="3"/>
      <c r="I206" s="38">
        <f>VLOOKUP(A206,$O$5:$R$279,4,0)</f>
        <v>0</v>
      </c>
      <c r="J206" s="70" t="s">
        <v>690</v>
      </c>
      <c r="K206" s="3" t="s">
        <v>690</v>
      </c>
      <c r="L206" s="3" t="s">
        <v>690</v>
      </c>
      <c r="M206" s="38">
        <f>SUM(J206:L206)</f>
        <v>0</v>
      </c>
      <c r="N206" s="67"/>
      <c r="O206" t="s">
        <v>478</v>
      </c>
      <c r="P206" t="s">
        <v>479</v>
      </c>
      <c r="Q206">
        <v>190</v>
      </c>
      <c r="R206">
        <v>0</v>
      </c>
      <c r="S206">
        <v>2844</v>
      </c>
      <c r="T206" t="s">
        <v>451</v>
      </c>
    </row>
    <row r="207" spans="1:20" x14ac:dyDescent="0.25">
      <c r="A207" s="37" t="s">
        <v>476</v>
      </c>
      <c r="B207" t="s">
        <v>477</v>
      </c>
      <c r="C207">
        <v>77118</v>
      </c>
      <c r="D207" t="s">
        <v>451</v>
      </c>
      <c r="E207" t="s">
        <v>13</v>
      </c>
      <c r="F207" s="70"/>
      <c r="G207" s="3"/>
      <c r="H207" s="3"/>
      <c r="I207" s="38">
        <f>VLOOKUP(A207,$O$5:$R$279,4,0)</f>
        <v>0</v>
      </c>
      <c r="J207" s="70">
        <v>89</v>
      </c>
      <c r="K207" s="3">
        <v>2</v>
      </c>
      <c r="L207" s="3">
        <v>2</v>
      </c>
      <c r="M207" s="38">
        <f>SUM(J207:L207)</f>
        <v>93</v>
      </c>
      <c r="N207" s="67"/>
      <c r="O207" t="s">
        <v>480</v>
      </c>
      <c r="P207" t="s">
        <v>481</v>
      </c>
      <c r="Q207">
        <v>190</v>
      </c>
      <c r="R207">
        <v>0</v>
      </c>
      <c r="S207">
        <v>2842</v>
      </c>
      <c r="T207" t="s">
        <v>451</v>
      </c>
    </row>
    <row r="208" spans="1:20" x14ac:dyDescent="0.25">
      <c r="A208" s="37" t="s">
        <v>478</v>
      </c>
      <c r="B208" t="s">
        <v>479</v>
      </c>
      <c r="C208">
        <v>2844</v>
      </c>
      <c r="D208" t="s">
        <v>451</v>
      </c>
      <c r="E208" t="s">
        <v>13</v>
      </c>
      <c r="F208" s="70"/>
      <c r="G208" s="3"/>
      <c r="H208" s="3"/>
      <c r="I208" s="38">
        <f>VLOOKUP(A208,$O$5:$R$279,4,0)</f>
        <v>0</v>
      </c>
      <c r="J208" s="70">
        <v>74</v>
      </c>
      <c r="K208" s="3">
        <v>1</v>
      </c>
      <c r="L208" s="3">
        <v>1</v>
      </c>
      <c r="M208" s="38">
        <f>SUM(J208:L208)</f>
        <v>76</v>
      </c>
      <c r="N208" s="67"/>
      <c r="O208" t="s">
        <v>482</v>
      </c>
      <c r="P208" t="s">
        <v>483</v>
      </c>
      <c r="Q208">
        <v>190</v>
      </c>
      <c r="R208">
        <v>0</v>
      </c>
      <c r="S208">
        <v>2847</v>
      </c>
      <c r="T208" t="s">
        <v>451</v>
      </c>
    </row>
    <row r="209" spans="1:20" x14ac:dyDescent="0.25">
      <c r="A209" s="37" t="s">
        <v>480</v>
      </c>
      <c r="B209" t="s">
        <v>481</v>
      </c>
      <c r="C209">
        <v>2842</v>
      </c>
      <c r="D209" t="s">
        <v>451</v>
      </c>
      <c r="E209" t="s">
        <v>13</v>
      </c>
      <c r="F209" s="70"/>
      <c r="G209" s="3"/>
      <c r="H209" s="3"/>
      <c r="I209" s="38">
        <f>VLOOKUP(A209,$O$5:$R$279,4,0)</f>
        <v>0</v>
      </c>
      <c r="J209" s="70">
        <v>52</v>
      </c>
      <c r="K209" s="3">
        <v>1</v>
      </c>
      <c r="L209" s="3">
        <v>1</v>
      </c>
      <c r="M209" s="38">
        <f>SUM(J209:L209)</f>
        <v>54</v>
      </c>
      <c r="N209" s="67"/>
      <c r="O209" t="s">
        <v>484</v>
      </c>
      <c r="P209" t="s">
        <v>485</v>
      </c>
      <c r="Q209">
        <v>190</v>
      </c>
      <c r="R209">
        <v>0</v>
      </c>
      <c r="S209">
        <v>2845</v>
      </c>
      <c r="T209" t="s">
        <v>451</v>
      </c>
    </row>
    <row r="210" spans="1:20" x14ac:dyDescent="0.25">
      <c r="A210" s="37" t="s">
        <v>482</v>
      </c>
      <c r="B210" t="s">
        <v>483</v>
      </c>
      <c r="C210">
        <v>2847</v>
      </c>
      <c r="D210" t="s">
        <v>451</v>
      </c>
      <c r="E210" t="s">
        <v>13</v>
      </c>
      <c r="F210" s="70"/>
      <c r="G210" s="3"/>
      <c r="H210" s="3"/>
      <c r="I210" s="38">
        <f>VLOOKUP(A210,$O$5:$R$279,4,0)</f>
        <v>0</v>
      </c>
      <c r="J210" s="70">
        <v>49</v>
      </c>
      <c r="K210" s="3">
        <v>2</v>
      </c>
      <c r="L210" s="3">
        <v>1</v>
      </c>
      <c r="M210" s="38">
        <f>SUM(J210:L210)</f>
        <v>52</v>
      </c>
      <c r="N210" s="67"/>
      <c r="O210" t="s">
        <v>486</v>
      </c>
      <c r="P210" t="s">
        <v>487</v>
      </c>
      <c r="Q210">
        <v>190</v>
      </c>
      <c r="R210">
        <v>0</v>
      </c>
      <c r="S210">
        <v>2846</v>
      </c>
      <c r="T210" t="s">
        <v>451</v>
      </c>
    </row>
    <row r="211" spans="1:20" x14ac:dyDescent="0.25">
      <c r="A211" s="37" t="s">
        <v>484</v>
      </c>
      <c r="B211" t="s">
        <v>485</v>
      </c>
      <c r="C211">
        <v>2845</v>
      </c>
      <c r="D211" t="s">
        <v>451</v>
      </c>
      <c r="E211" t="s">
        <v>13</v>
      </c>
      <c r="F211" s="70"/>
      <c r="G211" s="3"/>
      <c r="H211" s="3"/>
      <c r="I211" s="38">
        <f>VLOOKUP(A211,$O$5:$R$279,4,0)</f>
        <v>0</v>
      </c>
      <c r="J211" s="70">
        <v>32</v>
      </c>
      <c r="K211" s="3">
        <v>1</v>
      </c>
      <c r="L211" s="3">
        <v>0</v>
      </c>
      <c r="M211" s="38">
        <f>SUM(J211:L211)</f>
        <v>33</v>
      </c>
      <c r="N211" s="67"/>
      <c r="O211" t="s">
        <v>488</v>
      </c>
      <c r="P211" t="s">
        <v>489</v>
      </c>
      <c r="Q211">
        <v>190</v>
      </c>
      <c r="R211">
        <v>0</v>
      </c>
      <c r="S211">
        <v>3241</v>
      </c>
      <c r="T211" t="s">
        <v>451</v>
      </c>
    </row>
    <row r="212" spans="1:20" x14ac:dyDescent="0.25">
      <c r="A212" s="37" t="s">
        <v>486</v>
      </c>
      <c r="B212" t="s">
        <v>487</v>
      </c>
      <c r="C212">
        <v>2846</v>
      </c>
      <c r="D212" t="s">
        <v>451</v>
      </c>
      <c r="E212" t="s">
        <v>13</v>
      </c>
      <c r="F212" s="70"/>
      <c r="G212" s="3"/>
      <c r="H212" s="3"/>
      <c r="I212" s="38">
        <f>VLOOKUP(A212,$O$5:$R$279,4,0)</f>
        <v>0</v>
      </c>
      <c r="J212" s="70" t="s">
        <v>690</v>
      </c>
      <c r="K212" s="3" t="s">
        <v>690</v>
      </c>
      <c r="L212" s="3" t="s">
        <v>690</v>
      </c>
      <c r="M212" s="38">
        <f>SUM(J212:L212)</f>
        <v>0</v>
      </c>
      <c r="N212" s="67"/>
      <c r="O212" t="s">
        <v>490</v>
      </c>
      <c r="P212" t="s">
        <v>491</v>
      </c>
      <c r="Q212">
        <v>207</v>
      </c>
      <c r="R212">
        <v>2470</v>
      </c>
      <c r="S212">
        <v>14</v>
      </c>
      <c r="T212" t="s">
        <v>494</v>
      </c>
    </row>
    <row r="213" spans="1:20" ht="15.75" thickBot="1" x14ac:dyDescent="0.3">
      <c r="A213" s="41" t="s">
        <v>488</v>
      </c>
      <c r="B213" s="13" t="s">
        <v>489</v>
      </c>
      <c r="C213" s="13">
        <v>3241</v>
      </c>
      <c r="D213" s="13" t="s">
        <v>451</v>
      </c>
      <c r="E213" s="13" t="s">
        <v>13</v>
      </c>
      <c r="F213" s="77"/>
      <c r="G213" s="32"/>
      <c r="H213" s="32"/>
      <c r="I213" s="52">
        <f>VLOOKUP(A213,$O$5:$R$279,4,0)</f>
        <v>0</v>
      </c>
      <c r="J213" s="77">
        <v>102</v>
      </c>
      <c r="K213" s="32">
        <v>2</v>
      </c>
      <c r="L213" s="32">
        <v>1</v>
      </c>
      <c r="M213" s="52">
        <f>SUM(J213:L213)</f>
        <v>105</v>
      </c>
      <c r="N213" s="67"/>
      <c r="O213" t="s">
        <v>492</v>
      </c>
      <c r="P213" t="s">
        <v>493</v>
      </c>
      <c r="Q213">
        <v>207</v>
      </c>
      <c r="R213">
        <v>0</v>
      </c>
      <c r="S213">
        <v>1</v>
      </c>
      <c r="T213" t="s">
        <v>494</v>
      </c>
    </row>
    <row r="214" spans="1:20" x14ac:dyDescent="0.25">
      <c r="A214" s="37" t="s">
        <v>490</v>
      </c>
      <c r="B214" t="s">
        <v>491</v>
      </c>
      <c r="C214">
        <v>14</v>
      </c>
      <c r="D214" t="s">
        <v>494</v>
      </c>
      <c r="E214" t="s">
        <v>14</v>
      </c>
      <c r="F214" s="70"/>
      <c r="G214" s="3"/>
      <c r="H214" s="3"/>
      <c r="I214" s="38">
        <f>VLOOKUP(A214,$O$5:$R$279,4,0)</f>
        <v>2470</v>
      </c>
      <c r="J214" s="70">
        <v>254</v>
      </c>
      <c r="K214" s="3">
        <v>11</v>
      </c>
      <c r="L214" s="3">
        <v>1</v>
      </c>
      <c r="M214" s="38">
        <f>SUM(J214:L214)</f>
        <v>266</v>
      </c>
      <c r="N214" s="67"/>
      <c r="O214" t="s">
        <v>495</v>
      </c>
      <c r="P214" t="s">
        <v>496</v>
      </c>
      <c r="Q214">
        <v>207</v>
      </c>
      <c r="R214">
        <v>0</v>
      </c>
      <c r="S214">
        <v>7</v>
      </c>
      <c r="T214" t="s">
        <v>494</v>
      </c>
    </row>
    <row r="215" spans="1:20" x14ac:dyDescent="0.25">
      <c r="A215" s="37" t="s">
        <v>492</v>
      </c>
      <c r="B215" t="s">
        <v>493</v>
      </c>
      <c r="C215">
        <v>1</v>
      </c>
      <c r="D215" t="s">
        <v>494</v>
      </c>
      <c r="E215" t="s">
        <v>14</v>
      </c>
      <c r="F215" s="70"/>
      <c r="G215" s="3"/>
      <c r="H215" s="3"/>
      <c r="I215" s="38">
        <f>VLOOKUP(A215,$O$5:$R$279,4,0)</f>
        <v>0</v>
      </c>
      <c r="J215" s="70">
        <v>132</v>
      </c>
      <c r="K215" s="3">
        <v>3</v>
      </c>
      <c r="L215" s="3">
        <v>2</v>
      </c>
      <c r="M215" s="38">
        <f>SUM(J215:L215)</f>
        <v>137</v>
      </c>
      <c r="N215" s="67"/>
      <c r="O215" t="s">
        <v>497</v>
      </c>
      <c r="P215" t="s">
        <v>498</v>
      </c>
      <c r="Q215">
        <v>207</v>
      </c>
      <c r="R215">
        <v>0</v>
      </c>
      <c r="S215">
        <v>3</v>
      </c>
      <c r="T215" t="s">
        <v>494</v>
      </c>
    </row>
    <row r="216" spans="1:20" x14ac:dyDescent="0.25">
      <c r="A216" s="37" t="s">
        <v>495</v>
      </c>
      <c r="B216" t="s">
        <v>496</v>
      </c>
      <c r="C216">
        <v>7</v>
      </c>
      <c r="D216" t="s">
        <v>494</v>
      </c>
      <c r="E216" t="s">
        <v>14</v>
      </c>
      <c r="F216" s="70"/>
      <c r="G216" s="3"/>
      <c r="H216" s="3"/>
      <c r="I216" s="38">
        <f>VLOOKUP(A216,$O$5:$R$279,4,0)</f>
        <v>0</v>
      </c>
      <c r="J216" s="70">
        <v>598</v>
      </c>
      <c r="K216" s="3">
        <v>19</v>
      </c>
      <c r="L216" s="3">
        <v>11</v>
      </c>
      <c r="M216" s="38">
        <f>SUM(J216:L216)</f>
        <v>628</v>
      </c>
      <c r="N216" s="67"/>
      <c r="O216" t="s">
        <v>499</v>
      </c>
      <c r="P216" t="s">
        <v>500</v>
      </c>
      <c r="Q216">
        <v>207</v>
      </c>
      <c r="R216">
        <v>0</v>
      </c>
      <c r="S216">
        <v>10</v>
      </c>
      <c r="T216" t="s">
        <v>494</v>
      </c>
    </row>
    <row r="217" spans="1:20" x14ac:dyDescent="0.25">
      <c r="A217" s="37" t="s">
        <v>497</v>
      </c>
      <c r="B217" t="s">
        <v>498</v>
      </c>
      <c r="C217">
        <v>3</v>
      </c>
      <c r="D217" t="s">
        <v>494</v>
      </c>
      <c r="E217" t="s">
        <v>14</v>
      </c>
      <c r="F217" s="70"/>
      <c r="G217" s="3"/>
      <c r="H217" s="3"/>
      <c r="I217" s="38">
        <f>VLOOKUP(A217,$O$5:$R$279,4,0)</f>
        <v>0</v>
      </c>
      <c r="J217" s="70">
        <v>198</v>
      </c>
      <c r="K217" s="3">
        <v>9</v>
      </c>
      <c r="L217" s="3">
        <v>2</v>
      </c>
      <c r="M217" s="38">
        <f>SUM(J217:L217)</f>
        <v>209</v>
      </c>
      <c r="N217" s="67"/>
      <c r="O217" t="s">
        <v>501</v>
      </c>
      <c r="P217" t="s">
        <v>502</v>
      </c>
      <c r="Q217">
        <v>207</v>
      </c>
      <c r="R217">
        <v>0</v>
      </c>
      <c r="S217" t="s">
        <v>505</v>
      </c>
      <c r="T217" t="s">
        <v>494</v>
      </c>
    </row>
    <row r="218" spans="1:20" x14ac:dyDescent="0.25">
      <c r="A218" s="37" t="s">
        <v>499</v>
      </c>
      <c r="B218" t="s">
        <v>500</v>
      </c>
      <c r="C218">
        <v>10</v>
      </c>
      <c r="D218" t="s">
        <v>494</v>
      </c>
      <c r="E218" t="s">
        <v>14</v>
      </c>
      <c r="F218" s="70"/>
      <c r="G218" s="3"/>
      <c r="H218" s="3"/>
      <c r="I218" s="38">
        <f>VLOOKUP(A218,$O$5:$R$279,4,0)</f>
        <v>0</v>
      </c>
      <c r="J218" s="70">
        <v>60</v>
      </c>
      <c r="K218" s="3">
        <v>2</v>
      </c>
      <c r="L218" s="3">
        <v>1</v>
      </c>
      <c r="M218" s="38">
        <f>SUM(J218:L218)</f>
        <v>63</v>
      </c>
      <c r="N218" s="67"/>
      <c r="O218" t="s">
        <v>503</v>
      </c>
      <c r="P218" t="s">
        <v>504</v>
      </c>
      <c r="Q218">
        <v>207</v>
      </c>
      <c r="R218">
        <v>0</v>
      </c>
      <c r="S218" t="s">
        <v>508</v>
      </c>
      <c r="T218" t="s">
        <v>494</v>
      </c>
    </row>
    <row r="219" spans="1:20" x14ac:dyDescent="0.25">
      <c r="A219" s="37" t="s">
        <v>501</v>
      </c>
      <c r="B219" t="s">
        <v>502</v>
      </c>
      <c r="C219" t="s">
        <v>505</v>
      </c>
      <c r="D219" t="s">
        <v>494</v>
      </c>
      <c r="E219" t="s">
        <v>14</v>
      </c>
      <c r="F219" s="70"/>
      <c r="G219" s="3"/>
      <c r="H219" s="3"/>
      <c r="I219" s="38">
        <f>VLOOKUP(A219,$O$5:$R$279,4,0)</f>
        <v>0</v>
      </c>
      <c r="J219" s="70">
        <v>2</v>
      </c>
      <c r="K219" s="3">
        <v>0</v>
      </c>
      <c r="L219" s="3">
        <v>0</v>
      </c>
      <c r="M219" s="38">
        <f>SUM(J219:L219)</f>
        <v>2</v>
      </c>
      <c r="N219" s="67"/>
      <c r="O219" t="s">
        <v>506</v>
      </c>
      <c r="P219" t="s">
        <v>507</v>
      </c>
      <c r="Q219">
        <v>207</v>
      </c>
      <c r="R219">
        <v>0</v>
      </c>
      <c r="S219">
        <v>2</v>
      </c>
      <c r="T219" t="s">
        <v>494</v>
      </c>
    </row>
    <row r="220" spans="1:20" x14ac:dyDescent="0.25">
      <c r="A220" s="37" t="s">
        <v>503</v>
      </c>
      <c r="B220" t="s">
        <v>504</v>
      </c>
      <c r="C220" t="s">
        <v>508</v>
      </c>
      <c r="D220" t="s">
        <v>494</v>
      </c>
      <c r="E220" t="s">
        <v>14</v>
      </c>
      <c r="F220" s="70"/>
      <c r="G220" s="3"/>
      <c r="H220" s="3"/>
      <c r="I220" s="38">
        <f>VLOOKUP(A220,$O$5:$R$279,4,0)</f>
        <v>0</v>
      </c>
      <c r="J220" s="70" t="s">
        <v>690</v>
      </c>
      <c r="K220" s="3" t="s">
        <v>690</v>
      </c>
      <c r="L220" s="3" t="s">
        <v>690</v>
      </c>
      <c r="M220" s="38">
        <f>SUM(J220:L220)</f>
        <v>0</v>
      </c>
      <c r="N220" s="67"/>
      <c r="O220" t="s">
        <v>509</v>
      </c>
      <c r="P220" t="s">
        <v>510</v>
      </c>
      <c r="Q220">
        <v>207</v>
      </c>
      <c r="R220">
        <v>0</v>
      </c>
      <c r="S220" t="s">
        <v>513</v>
      </c>
      <c r="T220" t="s">
        <v>494</v>
      </c>
    </row>
    <row r="221" spans="1:20" x14ac:dyDescent="0.25">
      <c r="A221" s="37" t="s">
        <v>506</v>
      </c>
      <c r="B221" t="s">
        <v>507</v>
      </c>
      <c r="C221">
        <v>2</v>
      </c>
      <c r="D221" t="s">
        <v>494</v>
      </c>
      <c r="E221" t="s">
        <v>14</v>
      </c>
      <c r="F221" s="70"/>
      <c r="G221" s="3"/>
      <c r="H221" s="3"/>
      <c r="I221" s="38">
        <f>VLOOKUP(A221,$O$5:$R$279,4,0)</f>
        <v>0</v>
      </c>
      <c r="J221" s="70">
        <v>128</v>
      </c>
      <c r="K221" s="3">
        <v>4</v>
      </c>
      <c r="L221" s="3">
        <v>4</v>
      </c>
      <c r="M221" s="38">
        <f>SUM(J221:L221)</f>
        <v>136</v>
      </c>
      <c r="N221" s="67"/>
      <c r="O221" t="s">
        <v>511</v>
      </c>
      <c r="P221" t="s">
        <v>512</v>
      </c>
      <c r="Q221">
        <v>207</v>
      </c>
      <c r="R221">
        <v>0</v>
      </c>
      <c r="S221" t="s">
        <v>516</v>
      </c>
      <c r="T221" t="s">
        <v>494</v>
      </c>
    </row>
    <row r="222" spans="1:20" x14ac:dyDescent="0.25">
      <c r="A222" s="37" t="s">
        <v>509</v>
      </c>
      <c r="B222" t="s">
        <v>510</v>
      </c>
      <c r="C222" t="s">
        <v>513</v>
      </c>
      <c r="D222" t="s">
        <v>494</v>
      </c>
      <c r="E222" t="s">
        <v>14</v>
      </c>
      <c r="F222" s="70"/>
      <c r="G222" s="3"/>
      <c r="H222" s="3"/>
      <c r="I222" s="38">
        <f>VLOOKUP(A222,$O$5:$R$279,4,0)</f>
        <v>0</v>
      </c>
      <c r="J222" s="70">
        <v>311</v>
      </c>
      <c r="K222" s="3">
        <v>29</v>
      </c>
      <c r="L222" s="3">
        <v>4</v>
      </c>
      <c r="M222" s="38">
        <f>SUM(J222:L222)</f>
        <v>344</v>
      </c>
      <c r="N222" s="67"/>
      <c r="O222" t="s">
        <v>514</v>
      </c>
      <c r="P222" t="s">
        <v>515</v>
      </c>
      <c r="Q222">
        <v>207</v>
      </c>
      <c r="R222">
        <v>0</v>
      </c>
      <c r="S222">
        <v>6</v>
      </c>
      <c r="T222" t="s">
        <v>494</v>
      </c>
    </row>
    <row r="223" spans="1:20" x14ac:dyDescent="0.25">
      <c r="A223" s="37" t="s">
        <v>511</v>
      </c>
      <c r="B223" t="s">
        <v>512</v>
      </c>
      <c r="C223" t="s">
        <v>516</v>
      </c>
      <c r="D223" t="s">
        <v>494</v>
      </c>
      <c r="E223" t="s">
        <v>14</v>
      </c>
      <c r="F223" s="70"/>
      <c r="G223" s="3"/>
      <c r="H223" s="3"/>
      <c r="I223" s="38">
        <f>VLOOKUP(A223,$O$5:$R$279,4,0)</f>
        <v>0</v>
      </c>
      <c r="J223" s="70">
        <v>159</v>
      </c>
      <c r="K223" s="3">
        <v>1</v>
      </c>
      <c r="L223" s="3">
        <v>1</v>
      </c>
      <c r="M223" s="38">
        <f>SUM(J223:L223)</f>
        <v>161</v>
      </c>
      <c r="N223" s="67"/>
      <c r="O223" t="s">
        <v>517</v>
      </c>
      <c r="P223" t="s">
        <v>518</v>
      </c>
      <c r="Q223">
        <v>207</v>
      </c>
      <c r="R223">
        <v>0</v>
      </c>
      <c r="S223" t="s">
        <v>521</v>
      </c>
      <c r="T223" t="s">
        <v>494</v>
      </c>
    </row>
    <row r="224" spans="1:20" x14ac:dyDescent="0.25">
      <c r="A224" s="37" t="s">
        <v>514</v>
      </c>
      <c r="B224" t="s">
        <v>515</v>
      </c>
      <c r="C224">
        <v>6</v>
      </c>
      <c r="D224" t="s">
        <v>494</v>
      </c>
      <c r="E224" t="s">
        <v>14</v>
      </c>
      <c r="F224" s="70"/>
      <c r="G224" s="3"/>
      <c r="H224" s="3"/>
      <c r="I224" s="38">
        <f>VLOOKUP(A224,$O$5:$R$279,4,0)</f>
        <v>0</v>
      </c>
      <c r="J224" s="70">
        <v>107</v>
      </c>
      <c r="K224" s="3">
        <v>44</v>
      </c>
      <c r="L224" s="3">
        <v>3</v>
      </c>
      <c r="M224" s="38">
        <f>SUM(J224:L224)</f>
        <v>154</v>
      </c>
      <c r="N224" s="67"/>
      <c r="O224" t="s">
        <v>519</v>
      </c>
      <c r="P224" t="s">
        <v>520</v>
      </c>
      <c r="Q224">
        <v>207</v>
      </c>
      <c r="R224">
        <v>0</v>
      </c>
      <c r="S224">
        <v>15</v>
      </c>
      <c r="T224" t="s">
        <v>494</v>
      </c>
    </row>
    <row r="225" spans="1:20" x14ac:dyDescent="0.25">
      <c r="A225" s="37" t="s">
        <v>517</v>
      </c>
      <c r="B225" t="s">
        <v>518</v>
      </c>
      <c r="C225" t="s">
        <v>521</v>
      </c>
      <c r="D225" t="s">
        <v>494</v>
      </c>
      <c r="E225" t="s">
        <v>14</v>
      </c>
      <c r="F225" s="70"/>
      <c r="G225" s="3"/>
      <c r="H225" s="3"/>
      <c r="I225" s="38">
        <f>VLOOKUP(A225,$O$5:$R$279,4,0)</f>
        <v>0</v>
      </c>
      <c r="J225" s="70">
        <v>2</v>
      </c>
      <c r="K225" s="3">
        <v>1</v>
      </c>
      <c r="L225" s="3">
        <v>0</v>
      </c>
      <c r="M225" s="38">
        <f>SUM(J225:L225)</f>
        <v>3</v>
      </c>
      <c r="N225" s="67"/>
      <c r="O225" t="s">
        <v>522</v>
      </c>
      <c r="P225" t="s">
        <v>523</v>
      </c>
      <c r="Q225">
        <v>207</v>
      </c>
      <c r="R225">
        <v>0</v>
      </c>
      <c r="S225">
        <v>11</v>
      </c>
      <c r="T225" t="s">
        <v>494</v>
      </c>
    </row>
    <row r="226" spans="1:20" x14ac:dyDescent="0.25">
      <c r="A226" s="37" t="s">
        <v>519</v>
      </c>
      <c r="B226" t="s">
        <v>520</v>
      </c>
      <c r="C226">
        <v>15</v>
      </c>
      <c r="D226" t="s">
        <v>494</v>
      </c>
      <c r="E226" t="s">
        <v>14</v>
      </c>
      <c r="F226" s="70"/>
      <c r="G226" s="3"/>
      <c r="H226" s="3"/>
      <c r="I226" s="38">
        <f>VLOOKUP(A226,$O$5:$R$279,4,0)</f>
        <v>0</v>
      </c>
      <c r="J226" s="70">
        <v>96</v>
      </c>
      <c r="K226" s="3">
        <v>22</v>
      </c>
      <c r="L226" s="3">
        <v>9</v>
      </c>
      <c r="M226" s="38">
        <f>SUM(J226:L226)</f>
        <v>127</v>
      </c>
      <c r="N226" s="67"/>
      <c r="O226" t="s">
        <v>524</v>
      </c>
      <c r="P226" t="s">
        <v>525</v>
      </c>
      <c r="Q226">
        <v>207</v>
      </c>
      <c r="R226">
        <v>0</v>
      </c>
      <c r="S226" t="s">
        <v>528</v>
      </c>
      <c r="T226" t="s">
        <v>494</v>
      </c>
    </row>
    <row r="227" spans="1:20" x14ac:dyDescent="0.25">
      <c r="A227" s="37" t="s">
        <v>522</v>
      </c>
      <c r="B227" t="s">
        <v>523</v>
      </c>
      <c r="C227">
        <v>11</v>
      </c>
      <c r="D227" t="s">
        <v>494</v>
      </c>
      <c r="E227" t="s">
        <v>14</v>
      </c>
      <c r="F227" s="70"/>
      <c r="G227" s="3"/>
      <c r="H227" s="3"/>
      <c r="I227" s="38">
        <f>VLOOKUP(A227,$O$5:$R$279,4,0)</f>
        <v>0</v>
      </c>
      <c r="J227" s="70">
        <v>64</v>
      </c>
      <c r="K227" s="3">
        <v>1</v>
      </c>
      <c r="L227" s="3">
        <v>1</v>
      </c>
      <c r="M227" s="38">
        <f>SUM(J227:L227)</f>
        <v>66</v>
      </c>
      <c r="N227" s="67"/>
      <c r="O227" t="s">
        <v>526</v>
      </c>
      <c r="P227" t="s">
        <v>527</v>
      </c>
      <c r="Q227">
        <v>207</v>
      </c>
      <c r="R227">
        <v>0</v>
      </c>
      <c r="S227" t="s">
        <v>531</v>
      </c>
      <c r="T227" t="s">
        <v>494</v>
      </c>
    </row>
    <row r="228" spans="1:20" x14ac:dyDescent="0.25">
      <c r="A228" s="37" t="s">
        <v>524</v>
      </c>
      <c r="B228" t="s">
        <v>525</v>
      </c>
      <c r="C228" t="s">
        <v>528</v>
      </c>
      <c r="D228" t="s">
        <v>494</v>
      </c>
      <c r="E228" t="s">
        <v>14</v>
      </c>
      <c r="F228" s="70"/>
      <c r="G228" s="3"/>
      <c r="H228" s="3"/>
      <c r="I228" s="38">
        <f>VLOOKUP(A228,$O$5:$R$279,4,0)</f>
        <v>0</v>
      </c>
      <c r="J228" s="70">
        <v>315</v>
      </c>
      <c r="K228" s="3">
        <v>5</v>
      </c>
      <c r="L228" s="3">
        <v>2</v>
      </c>
      <c r="M228" s="38">
        <f>SUM(J228:L228)</f>
        <v>322</v>
      </c>
      <c r="N228" s="67"/>
      <c r="O228" t="s">
        <v>529</v>
      </c>
      <c r="P228" t="s">
        <v>530</v>
      </c>
      <c r="Q228">
        <v>207</v>
      </c>
      <c r="R228">
        <v>0</v>
      </c>
      <c r="S228" t="s">
        <v>534</v>
      </c>
      <c r="T228" t="s">
        <v>494</v>
      </c>
    </row>
    <row r="229" spans="1:20" x14ac:dyDescent="0.25">
      <c r="A229" s="37" t="s">
        <v>526</v>
      </c>
      <c r="B229" t="s">
        <v>527</v>
      </c>
      <c r="C229" t="s">
        <v>531</v>
      </c>
      <c r="D229" t="s">
        <v>494</v>
      </c>
      <c r="E229" t="s">
        <v>14</v>
      </c>
      <c r="F229" s="70"/>
      <c r="G229" s="3"/>
      <c r="H229" s="3"/>
      <c r="I229" s="38">
        <f>VLOOKUP(A229,$O$5:$R$279,4,0)</f>
        <v>0</v>
      </c>
      <c r="J229" s="70">
        <v>24</v>
      </c>
      <c r="K229" s="3">
        <v>1</v>
      </c>
      <c r="L229" s="3">
        <v>1</v>
      </c>
      <c r="M229" s="38">
        <f>SUM(J229:L229)</f>
        <v>26</v>
      </c>
      <c r="N229" s="67"/>
      <c r="O229" t="s">
        <v>532</v>
      </c>
      <c r="P229" t="s">
        <v>533</v>
      </c>
      <c r="Q229">
        <v>207</v>
      </c>
      <c r="R229">
        <v>0</v>
      </c>
      <c r="S229">
        <v>5</v>
      </c>
      <c r="T229" t="s">
        <v>494</v>
      </c>
    </row>
    <row r="230" spans="1:20" x14ac:dyDescent="0.25">
      <c r="A230" s="37" t="s">
        <v>529</v>
      </c>
      <c r="B230" t="s">
        <v>530</v>
      </c>
      <c r="C230" t="s">
        <v>534</v>
      </c>
      <c r="D230" t="s">
        <v>494</v>
      </c>
      <c r="E230" t="s">
        <v>14</v>
      </c>
      <c r="F230" s="70"/>
      <c r="G230" s="3"/>
      <c r="H230" s="3"/>
      <c r="I230" s="38">
        <f>VLOOKUP(A230,$O$5:$R$279,4,0)</f>
        <v>0</v>
      </c>
      <c r="J230" s="70">
        <v>9</v>
      </c>
      <c r="K230" s="3">
        <v>0</v>
      </c>
      <c r="L230" s="3">
        <v>1</v>
      </c>
      <c r="M230" s="38">
        <f>SUM(J230:L230)</f>
        <v>10</v>
      </c>
      <c r="N230" s="67"/>
      <c r="O230" t="s">
        <v>535</v>
      </c>
      <c r="P230" t="s">
        <v>536</v>
      </c>
      <c r="Q230">
        <v>207</v>
      </c>
      <c r="R230">
        <v>0</v>
      </c>
      <c r="S230">
        <v>9</v>
      </c>
      <c r="T230" t="s">
        <v>494</v>
      </c>
    </row>
    <row r="231" spans="1:20" x14ac:dyDescent="0.25">
      <c r="A231" s="37" t="s">
        <v>532</v>
      </c>
      <c r="B231" t="s">
        <v>533</v>
      </c>
      <c r="C231">
        <v>5</v>
      </c>
      <c r="D231" t="s">
        <v>494</v>
      </c>
      <c r="E231" t="s">
        <v>14</v>
      </c>
      <c r="F231" s="70"/>
      <c r="G231" s="3"/>
      <c r="H231" s="3"/>
      <c r="I231" s="38">
        <f>VLOOKUP(A231,$O$5:$R$279,4,0)</f>
        <v>0</v>
      </c>
      <c r="J231" s="70">
        <v>98</v>
      </c>
      <c r="K231" s="3">
        <v>11</v>
      </c>
      <c r="L231" s="3">
        <v>7</v>
      </c>
      <c r="M231" s="38">
        <f>SUM(J231:L231)</f>
        <v>116</v>
      </c>
      <c r="N231" s="67"/>
      <c r="O231" t="s">
        <v>537</v>
      </c>
      <c r="P231" t="s">
        <v>538</v>
      </c>
      <c r="Q231">
        <v>210</v>
      </c>
      <c r="R231">
        <v>12044</v>
      </c>
      <c r="S231">
        <v>2933</v>
      </c>
      <c r="T231" t="s">
        <v>688</v>
      </c>
    </row>
    <row r="232" spans="1:20" ht="15.75" thickBot="1" x14ac:dyDescent="0.3">
      <c r="A232" s="37" t="s">
        <v>535</v>
      </c>
      <c r="B232" t="s">
        <v>536</v>
      </c>
      <c r="C232">
        <v>9</v>
      </c>
      <c r="D232" t="s">
        <v>494</v>
      </c>
      <c r="E232" t="s">
        <v>14</v>
      </c>
      <c r="F232" s="70"/>
      <c r="G232" s="3"/>
      <c r="H232" s="3"/>
      <c r="I232" s="38">
        <f>VLOOKUP(A232,$O$5:$R$279,4,0)</f>
        <v>0</v>
      </c>
      <c r="J232" s="70">
        <v>52</v>
      </c>
      <c r="K232" s="3">
        <v>3</v>
      </c>
      <c r="L232" s="3">
        <v>1</v>
      </c>
      <c r="M232" s="38">
        <f>SUM(J232:L232)</f>
        <v>56</v>
      </c>
      <c r="N232" s="67"/>
      <c r="O232" t="s">
        <v>539</v>
      </c>
      <c r="P232" t="s">
        <v>540</v>
      </c>
      <c r="Q232">
        <v>210</v>
      </c>
      <c r="R232">
        <v>0</v>
      </c>
      <c r="S232">
        <v>2934</v>
      </c>
      <c r="T232" t="s">
        <v>688</v>
      </c>
    </row>
    <row r="233" spans="1:20" x14ac:dyDescent="0.25">
      <c r="A233" s="36" t="s">
        <v>541</v>
      </c>
      <c r="B233" s="11" t="s">
        <v>542</v>
      </c>
      <c r="C233" s="11"/>
      <c r="D233" s="11" t="s">
        <v>543</v>
      </c>
      <c r="E233" s="11" t="s">
        <v>15</v>
      </c>
      <c r="F233" s="76"/>
      <c r="G233" s="50"/>
      <c r="H233" s="50"/>
      <c r="I233" s="51">
        <f>VLOOKUP(A233,$O$5:$R$279,4,0)</f>
        <v>0</v>
      </c>
      <c r="J233" s="76">
        <v>114</v>
      </c>
      <c r="K233" s="50">
        <v>1</v>
      </c>
      <c r="L233" s="50">
        <v>0</v>
      </c>
      <c r="M233" s="51">
        <f>SUM(J233:L233)</f>
        <v>115</v>
      </c>
      <c r="N233" s="67"/>
      <c r="O233" t="s">
        <v>544</v>
      </c>
      <c r="P233" t="s">
        <v>545</v>
      </c>
      <c r="Q233">
        <v>210</v>
      </c>
      <c r="R233">
        <v>0</v>
      </c>
      <c r="S233">
        <v>3219</v>
      </c>
      <c r="T233" t="s">
        <v>688</v>
      </c>
    </row>
    <row r="234" spans="1:20" x14ac:dyDescent="0.25">
      <c r="A234" s="37" t="s">
        <v>546</v>
      </c>
      <c r="B234" t="s">
        <v>547</v>
      </c>
      <c r="D234" t="s">
        <v>543</v>
      </c>
      <c r="E234" t="s">
        <v>15</v>
      </c>
      <c r="F234" s="70"/>
      <c r="G234" s="3"/>
      <c r="H234" s="3"/>
      <c r="I234" s="38">
        <f>VLOOKUP(A234,$O$5:$R$279,4,0)</f>
        <v>0</v>
      </c>
      <c r="J234" s="70">
        <v>73</v>
      </c>
      <c r="K234" s="3">
        <v>3</v>
      </c>
      <c r="L234" s="3">
        <v>3</v>
      </c>
      <c r="M234" s="38">
        <f>SUM(J234:L234)</f>
        <v>79</v>
      </c>
      <c r="N234" s="67"/>
      <c r="O234" t="s">
        <v>548</v>
      </c>
      <c r="P234" t="s">
        <v>689</v>
      </c>
      <c r="Q234">
        <v>210</v>
      </c>
      <c r="R234">
        <v>0</v>
      </c>
      <c r="S234">
        <v>2945</v>
      </c>
      <c r="T234" t="s">
        <v>688</v>
      </c>
    </row>
    <row r="235" spans="1:20" x14ac:dyDescent="0.25">
      <c r="A235" s="37" t="s">
        <v>549</v>
      </c>
      <c r="B235" t="s">
        <v>550</v>
      </c>
      <c r="D235" t="s">
        <v>543</v>
      </c>
      <c r="E235" t="s">
        <v>15</v>
      </c>
      <c r="F235" s="70"/>
      <c r="G235" s="3"/>
      <c r="H235" s="3"/>
      <c r="I235" s="38">
        <f>VLOOKUP(A235,$O$5:$R$279,4,0)</f>
        <v>0</v>
      </c>
      <c r="J235" s="70">
        <v>25</v>
      </c>
      <c r="K235" s="3">
        <v>2</v>
      </c>
      <c r="L235" s="3">
        <v>0</v>
      </c>
      <c r="M235" s="38">
        <f>SUM(J235:L235)</f>
        <v>27</v>
      </c>
      <c r="N235" s="67"/>
      <c r="O235" t="s">
        <v>551</v>
      </c>
      <c r="P235" t="s">
        <v>552</v>
      </c>
      <c r="Q235">
        <v>210</v>
      </c>
      <c r="R235">
        <v>0</v>
      </c>
      <c r="S235">
        <v>2946</v>
      </c>
      <c r="T235" t="s">
        <v>688</v>
      </c>
    </row>
    <row r="236" spans="1:20" x14ac:dyDescent="0.25">
      <c r="A236" s="37" t="s">
        <v>553</v>
      </c>
      <c r="B236" t="s">
        <v>554</v>
      </c>
      <c r="D236" t="s">
        <v>543</v>
      </c>
      <c r="E236" t="s">
        <v>15</v>
      </c>
      <c r="F236" s="70"/>
      <c r="G236" s="3"/>
      <c r="H236" s="3"/>
      <c r="I236" s="38">
        <f>VLOOKUP(A236,$O$5:$R$279,4,0)</f>
        <v>0</v>
      </c>
      <c r="J236" s="70">
        <v>293</v>
      </c>
      <c r="K236" s="3">
        <v>9</v>
      </c>
      <c r="L236" s="3">
        <v>7</v>
      </c>
      <c r="M236" s="38">
        <f>SUM(J236:L236)</f>
        <v>309</v>
      </c>
      <c r="N236" s="67"/>
      <c r="O236" t="s">
        <v>555</v>
      </c>
      <c r="P236" t="s">
        <v>556</v>
      </c>
      <c r="Q236">
        <v>210</v>
      </c>
      <c r="R236">
        <v>0</v>
      </c>
      <c r="S236">
        <v>2947</v>
      </c>
      <c r="T236" t="s">
        <v>688</v>
      </c>
    </row>
    <row r="237" spans="1:20" x14ac:dyDescent="0.25">
      <c r="A237" s="37" t="s">
        <v>557</v>
      </c>
      <c r="B237" t="s">
        <v>558</v>
      </c>
      <c r="D237" t="s">
        <v>543</v>
      </c>
      <c r="E237" t="s">
        <v>15</v>
      </c>
      <c r="F237" s="70"/>
      <c r="G237" s="3"/>
      <c r="H237" s="3"/>
      <c r="I237" s="38">
        <f>VLOOKUP(A237,$O$5:$R$279,4,0)</f>
        <v>0</v>
      </c>
      <c r="J237" s="70">
        <v>445</v>
      </c>
      <c r="K237" s="3">
        <v>16</v>
      </c>
      <c r="L237" s="3">
        <v>12</v>
      </c>
      <c r="M237" s="38">
        <f>SUM(J237:L237)</f>
        <v>473</v>
      </c>
      <c r="N237" s="67"/>
      <c r="O237" t="s">
        <v>559</v>
      </c>
      <c r="P237" t="s">
        <v>560</v>
      </c>
      <c r="Q237">
        <v>210</v>
      </c>
      <c r="R237">
        <v>0</v>
      </c>
      <c r="S237">
        <v>2948</v>
      </c>
      <c r="T237" t="s">
        <v>688</v>
      </c>
    </row>
    <row r="238" spans="1:20" x14ac:dyDescent="0.25">
      <c r="A238" s="37" t="s">
        <v>561</v>
      </c>
      <c r="B238" t="s">
        <v>562</v>
      </c>
      <c r="D238" t="s">
        <v>543</v>
      </c>
      <c r="E238" t="s">
        <v>15</v>
      </c>
      <c r="F238" s="70"/>
      <c r="G238" s="3"/>
      <c r="H238" s="3"/>
      <c r="I238" s="38">
        <f>VLOOKUP(A238,$O$5:$R$279,4,0)</f>
        <v>0</v>
      </c>
      <c r="J238" s="70">
        <v>87</v>
      </c>
      <c r="K238" s="3">
        <v>1</v>
      </c>
      <c r="L238" s="3">
        <v>1</v>
      </c>
      <c r="M238" s="38">
        <f>SUM(J238:L238)</f>
        <v>89</v>
      </c>
      <c r="N238" s="67"/>
      <c r="O238" t="s">
        <v>563</v>
      </c>
      <c r="P238" t="s">
        <v>564</v>
      </c>
      <c r="Q238">
        <v>210</v>
      </c>
      <c r="R238">
        <v>0</v>
      </c>
      <c r="S238">
        <v>3220</v>
      </c>
      <c r="T238" t="s">
        <v>688</v>
      </c>
    </row>
    <row r="239" spans="1:20" x14ac:dyDescent="0.25">
      <c r="A239" s="37" t="s">
        <v>565</v>
      </c>
      <c r="B239" t="s">
        <v>566</v>
      </c>
      <c r="D239" t="s">
        <v>543</v>
      </c>
      <c r="E239" t="s">
        <v>15</v>
      </c>
      <c r="F239" s="70"/>
      <c r="G239" s="3"/>
      <c r="H239" s="3"/>
      <c r="I239" s="38">
        <f>VLOOKUP(A239,$O$5:$R$279,4,0)</f>
        <v>0</v>
      </c>
      <c r="J239" s="70">
        <v>164</v>
      </c>
      <c r="K239" s="3">
        <v>0</v>
      </c>
      <c r="L239" s="3">
        <v>0</v>
      </c>
      <c r="M239" s="38">
        <f>SUM(J239:L239)</f>
        <v>164</v>
      </c>
      <c r="N239" s="67"/>
      <c r="O239" t="s">
        <v>567</v>
      </c>
      <c r="P239" t="s">
        <v>568</v>
      </c>
      <c r="Q239">
        <v>210</v>
      </c>
      <c r="R239">
        <v>0</v>
      </c>
      <c r="S239">
        <v>3223</v>
      </c>
      <c r="T239" t="s">
        <v>688</v>
      </c>
    </row>
    <row r="240" spans="1:20" x14ac:dyDescent="0.25">
      <c r="A240" s="37" t="s">
        <v>569</v>
      </c>
      <c r="B240" t="s">
        <v>570</v>
      </c>
      <c r="D240" t="s">
        <v>543</v>
      </c>
      <c r="E240" t="s">
        <v>15</v>
      </c>
      <c r="F240" s="70"/>
      <c r="G240" s="3"/>
      <c r="H240" s="3"/>
      <c r="I240" s="38">
        <f>VLOOKUP(A240,$O$5:$R$279,4,0)</f>
        <v>0</v>
      </c>
      <c r="J240" s="70">
        <v>0</v>
      </c>
      <c r="K240" s="3">
        <v>0</v>
      </c>
      <c r="L240" s="3">
        <v>0</v>
      </c>
      <c r="M240" s="38">
        <f>SUM(J240:L240)</f>
        <v>0</v>
      </c>
      <c r="N240" s="67"/>
      <c r="O240" t="s">
        <v>571</v>
      </c>
      <c r="P240" t="s">
        <v>572</v>
      </c>
      <c r="Q240">
        <v>210</v>
      </c>
      <c r="R240">
        <v>0</v>
      </c>
      <c r="S240">
        <v>3221</v>
      </c>
      <c r="T240" t="s">
        <v>688</v>
      </c>
    </row>
    <row r="241" spans="1:20" x14ac:dyDescent="0.25">
      <c r="A241" s="37" t="s">
        <v>573</v>
      </c>
      <c r="B241" t="s">
        <v>574</v>
      </c>
      <c r="D241" t="s">
        <v>543</v>
      </c>
      <c r="E241" t="s">
        <v>15</v>
      </c>
      <c r="F241" s="70"/>
      <c r="G241" s="3"/>
      <c r="H241" s="3"/>
      <c r="I241" s="38">
        <f>VLOOKUP(A241,$O$5:$R$279,4,0)</f>
        <v>0</v>
      </c>
      <c r="J241" s="70">
        <v>0</v>
      </c>
      <c r="K241" s="3">
        <v>0</v>
      </c>
      <c r="L241" s="3">
        <v>0</v>
      </c>
      <c r="M241" s="38">
        <f>SUM(J241:L241)</f>
        <v>0</v>
      </c>
      <c r="N241" s="67"/>
      <c r="O241" t="s">
        <v>575</v>
      </c>
      <c r="P241" t="s">
        <v>576</v>
      </c>
      <c r="Q241">
        <v>210</v>
      </c>
      <c r="R241">
        <v>0</v>
      </c>
      <c r="S241">
        <v>3222</v>
      </c>
      <c r="T241" t="s">
        <v>688</v>
      </c>
    </row>
    <row r="242" spans="1:20" x14ac:dyDescent="0.25">
      <c r="A242" s="37" t="s">
        <v>577</v>
      </c>
      <c r="B242" t="s">
        <v>578</v>
      </c>
      <c r="D242" t="s">
        <v>543</v>
      </c>
      <c r="E242" t="s">
        <v>15</v>
      </c>
      <c r="F242" s="70"/>
      <c r="G242" s="3"/>
      <c r="H242" s="3"/>
      <c r="I242" s="38">
        <f>VLOOKUP(A242,$O$5:$R$279,4,0)</f>
        <v>0</v>
      </c>
      <c r="J242" s="70">
        <v>401</v>
      </c>
      <c r="K242" s="3">
        <v>12</v>
      </c>
      <c r="L242" s="3">
        <v>11</v>
      </c>
      <c r="M242" s="38">
        <f>SUM(J242:L242)</f>
        <v>424</v>
      </c>
      <c r="N242" s="67"/>
      <c r="O242" t="s">
        <v>579</v>
      </c>
      <c r="P242" t="s">
        <v>580</v>
      </c>
      <c r="Q242">
        <v>210</v>
      </c>
      <c r="R242">
        <v>0</v>
      </c>
      <c r="S242">
        <v>2935</v>
      </c>
      <c r="T242" t="s">
        <v>688</v>
      </c>
    </row>
    <row r="243" spans="1:20" x14ac:dyDescent="0.25">
      <c r="A243" s="37" t="s">
        <v>581</v>
      </c>
      <c r="B243" t="s">
        <v>582</v>
      </c>
      <c r="D243" t="s">
        <v>543</v>
      </c>
      <c r="E243" t="s">
        <v>15</v>
      </c>
      <c r="F243" s="70"/>
      <c r="G243" s="3"/>
      <c r="H243" s="3"/>
      <c r="I243" s="38">
        <f>VLOOKUP(A243,$O$5:$R$279,4,0)</f>
        <v>7464</v>
      </c>
      <c r="J243" s="70">
        <v>568</v>
      </c>
      <c r="K243" s="3">
        <v>19</v>
      </c>
      <c r="L243" s="3">
        <v>49</v>
      </c>
      <c r="M243" s="38">
        <f>SUM(J243:L243)</f>
        <v>636</v>
      </c>
      <c r="N243" s="67"/>
      <c r="O243" t="s">
        <v>583</v>
      </c>
      <c r="P243" t="s">
        <v>584</v>
      </c>
      <c r="Q243">
        <v>210</v>
      </c>
      <c r="R243">
        <v>0</v>
      </c>
      <c r="S243">
        <v>2936</v>
      </c>
      <c r="T243" t="s">
        <v>688</v>
      </c>
    </row>
    <row r="244" spans="1:20" x14ac:dyDescent="0.25">
      <c r="A244" s="37" t="s">
        <v>585</v>
      </c>
      <c r="B244" t="s">
        <v>586</v>
      </c>
      <c r="D244" t="s">
        <v>543</v>
      </c>
      <c r="E244" t="s">
        <v>15</v>
      </c>
      <c r="F244" s="70"/>
      <c r="G244" s="3"/>
      <c r="H244" s="3"/>
      <c r="I244" s="38">
        <f>VLOOKUP(A244,$O$5:$R$279,4,0)</f>
        <v>0</v>
      </c>
      <c r="J244" s="70">
        <v>195</v>
      </c>
      <c r="K244" s="3">
        <v>5</v>
      </c>
      <c r="L244" s="3">
        <v>3</v>
      </c>
      <c r="M244" s="38">
        <f>SUM(J244:L244)</f>
        <v>203</v>
      </c>
      <c r="N244" s="67"/>
      <c r="O244" t="s">
        <v>587</v>
      </c>
      <c r="P244" t="s">
        <v>588</v>
      </c>
      <c r="Q244">
        <v>210</v>
      </c>
      <c r="R244">
        <v>0</v>
      </c>
      <c r="S244">
        <v>2937</v>
      </c>
      <c r="T244" t="s">
        <v>688</v>
      </c>
    </row>
    <row r="245" spans="1:20" x14ac:dyDescent="0.25">
      <c r="A245" s="37" t="s">
        <v>589</v>
      </c>
      <c r="B245" t="s">
        <v>590</v>
      </c>
      <c r="D245" t="s">
        <v>543</v>
      </c>
      <c r="E245" t="s">
        <v>15</v>
      </c>
      <c r="F245" s="70"/>
      <c r="G245" s="3"/>
      <c r="H245" s="3"/>
      <c r="I245" s="38">
        <f>VLOOKUP(A245,$O$5:$R$279,4,0)</f>
        <v>0</v>
      </c>
      <c r="J245" s="70">
        <v>679</v>
      </c>
      <c r="K245" s="3">
        <v>8</v>
      </c>
      <c r="L245" s="3">
        <v>6</v>
      </c>
      <c r="M245" s="38">
        <f>SUM(J245:L245)</f>
        <v>693</v>
      </c>
      <c r="N245" s="67"/>
      <c r="O245" t="s">
        <v>591</v>
      </c>
      <c r="P245" t="s">
        <v>592</v>
      </c>
      <c r="Q245">
        <v>210</v>
      </c>
      <c r="R245">
        <v>0</v>
      </c>
      <c r="S245">
        <v>2938</v>
      </c>
      <c r="T245" t="s">
        <v>688</v>
      </c>
    </row>
    <row r="246" spans="1:20" x14ac:dyDescent="0.25">
      <c r="A246" s="37" t="s">
        <v>593</v>
      </c>
      <c r="B246" t="s">
        <v>594</v>
      </c>
      <c r="D246" t="s">
        <v>543</v>
      </c>
      <c r="E246" t="s">
        <v>15</v>
      </c>
      <c r="F246" s="70"/>
      <c r="G246" s="3"/>
      <c r="H246" s="3"/>
      <c r="I246" s="38">
        <f>VLOOKUP(A246,$O$5:$R$279,4,0)</f>
        <v>0</v>
      </c>
      <c r="J246" s="70">
        <v>596</v>
      </c>
      <c r="K246" s="3">
        <v>3</v>
      </c>
      <c r="L246" s="3">
        <v>3</v>
      </c>
      <c r="M246" s="38">
        <f>SUM(J246:L246)</f>
        <v>602</v>
      </c>
      <c r="N246" s="67"/>
      <c r="O246" t="s">
        <v>595</v>
      </c>
      <c r="P246" t="s">
        <v>596</v>
      </c>
      <c r="Q246">
        <v>210</v>
      </c>
      <c r="R246">
        <v>0</v>
      </c>
      <c r="S246">
        <v>2939</v>
      </c>
      <c r="T246" t="s">
        <v>688</v>
      </c>
    </row>
    <row r="247" spans="1:20" x14ac:dyDescent="0.25">
      <c r="A247" s="37" t="s">
        <v>597</v>
      </c>
      <c r="B247" t="s">
        <v>598</v>
      </c>
      <c r="D247" t="s">
        <v>543</v>
      </c>
      <c r="E247" t="s">
        <v>15</v>
      </c>
      <c r="F247" s="70"/>
      <c r="G247" s="3"/>
      <c r="H247" s="3"/>
      <c r="I247" s="38">
        <f>VLOOKUP(A247,$O$5:$R$279,4,0)</f>
        <v>0</v>
      </c>
      <c r="J247" s="70">
        <v>436</v>
      </c>
      <c r="K247" s="3">
        <v>2</v>
      </c>
      <c r="L247" s="3">
        <v>1</v>
      </c>
      <c r="M247" s="94">
        <f>SUM(J247:L247)</f>
        <v>439</v>
      </c>
      <c r="N247" s="67"/>
      <c r="O247" t="s">
        <v>599</v>
      </c>
      <c r="P247" t="s">
        <v>600</v>
      </c>
      <c r="Q247">
        <v>210</v>
      </c>
      <c r="R247">
        <v>0</v>
      </c>
      <c r="S247">
        <v>2940</v>
      </c>
      <c r="T247" t="s">
        <v>688</v>
      </c>
    </row>
    <row r="248" spans="1:20" x14ac:dyDescent="0.25">
      <c r="A248" s="37" t="s">
        <v>601</v>
      </c>
      <c r="B248" t="s">
        <v>602</v>
      </c>
      <c r="D248" t="s">
        <v>543</v>
      </c>
      <c r="E248" t="s">
        <v>15</v>
      </c>
      <c r="F248" s="70"/>
      <c r="G248" s="3"/>
      <c r="H248" s="3"/>
      <c r="I248" s="38">
        <f>VLOOKUP(A248,$O$5:$R$279,4,0)</f>
        <v>0</v>
      </c>
      <c r="J248" s="70">
        <v>895</v>
      </c>
      <c r="K248" s="3">
        <v>15</v>
      </c>
      <c r="L248" s="3">
        <v>11</v>
      </c>
      <c r="M248" s="94">
        <f>SUM(J248:L248)</f>
        <v>921</v>
      </c>
      <c r="N248" s="67"/>
      <c r="O248" t="s">
        <v>603</v>
      </c>
      <c r="P248" t="s">
        <v>604</v>
      </c>
      <c r="Q248">
        <v>210</v>
      </c>
      <c r="R248">
        <v>0</v>
      </c>
      <c r="S248">
        <v>2941</v>
      </c>
      <c r="T248" t="s">
        <v>688</v>
      </c>
    </row>
    <row r="249" spans="1:20" x14ac:dyDescent="0.25">
      <c r="A249" s="37" t="s">
        <v>605</v>
      </c>
      <c r="B249" t="s">
        <v>606</v>
      </c>
      <c r="D249" t="s">
        <v>543</v>
      </c>
      <c r="E249" t="s">
        <v>15</v>
      </c>
      <c r="F249" s="70"/>
      <c r="G249" s="3"/>
      <c r="H249" s="3"/>
      <c r="I249" s="38">
        <f>VLOOKUP(A249,$O$5:$R$279,4,0)</f>
        <v>0</v>
      </c>
      <c r="J249" s="70">
        <v>138</v>
      </c>
      <c r="K249" s="3">
        <v>1</v>
      </c>
      <c r="L249" s="3">
        <v>1</v>
      </c>
      <c r="M249" s="38">
        <f>SUM(J249:L249)</f>
        <v>140</v>
      </c>
      <c r="N249" s="67"/>
      <c r="O249" t="s">
        <v>607</v>
      </c>
      <c r="P249" t="s">
        <v>608</v>
      </c>
      <c r="Q249">
        <v>210</v>
      </c>
      <c r="R249">
        <v>0</v>
      </c>
      <c r="S249">
        <v>18785</v>
      </c>
      <c r="T249" t="s">
        <v>688</v>
      </c>
    </row>
    <row r="250" spans="1:20" x14ac:dyDescent="0.25">
      <c r="A250" s="37" t="s">
        <v>609</v>
      </c>
      <c r="B250" t="s">
        <v>610</v>
      </c>
      <c r="D250" t="s">
        <v>543</v>
      </c>
      <c r="E250" t="s">
        <v>15</v>
      </c>
      <c r="F250" s="70"/>
      <c r="G250" s="3"/>
      <c r="H250" s="3"/>
      <c r="I250" s="38">
        <f>VLOOKUP(A250,$O$5:$R$279,4,0)</f>
        <v>0</v>
      </c>
      <c r="J250" s="70">
        <v>315</v>
      </c>
      <c r="K250" s="3">
        <v>4</v>
      </c>
      <c r="L250" s="3">
        <v>2</v>
      </c>
      <c r="M250" s="38">
        <f>SUM(J250:L250)</f>
        <v>321</v>
      </c>
      <c r="N250" s="67"/>
      <c r="O250" t="s">
        <v>581</v>
      </c>
      <c r="P250" t="s">
        <v>611</v>
      </c>
      <c r="Q250">
        <v>220</v>
      </c>
      <c r="R250">
        <v>7464</v>
      </c>
      <c r="S250">
        <v>10746</v>
      </c>
      <c r="T250" t="s">
        <v>543</v>
      </c>
    </row>
    <row r="251" spans="1:20" x14ac:dyDescent="0.25">
      <c r="A251" s="37" t="s">
        <v>612</v>
      </c>
      <c r="B251" t="s">
        <v>613</v>
      </c>
      <c r="D251" t="s">
        <v>543</v>
      </c>
      <c r="E251" t="s">
        <v>15</v>
      </c>
      <c r="F251" s="70"/>
      <c r="G251" s="3"/>
      <c r="H251" s="3"/>
      <c r="I251" s="38">
        <f>VLOOKUP(A251,$O$5:$R$279,4,0)</f>
        <v>0</v>
      </c>
      <c r="J251" s="70">
        <v>424</v>
      </c>
      <c r="K251" s="3">
        <v>8</v>
      </c>
      <c r="L251" s="3">
        <v>8</v>
      </c>
      <c r="M251" s="38">
        <f>SUM(J251:L251)</f>
        <v>440</v>
      </c>
      <c r="N251" s="67"/>
      <c r="O251" t="s">
        <v>553</v>
      </c>
      <c r="P251" t="s">
        <v>614</v>
      </c>
      <c r="Q251">
        <v>220</v>
      </c>
      <c r="R251">
        <v>0</v>
      </c>
      <c r="S251">
        <v>10732</v>
      </c>
      <c r="T251" t="s">
        <v>543</v>
      </c>
    </row>
    <row r="252" spans="1:20" x14ac:dyDescent="0.25">
      <c r="A252" s="37" t="s">
        <v>615</v>
      </c>
      <c r="B252" t="s">
        <v>616</v>
      </c>
      <c r="D252" t="s">
        <v>543</v>
      </c>
      <c r="E252" t="s">
        <v>15</v>
      </c>
      <c r="F252" s="70"/>
      <c r="G252" s="3"/>
      <c r="H252" s="3"/>
      <c r="I252" s="38">
        <f>VLOOKUP(A252,$O$5:$R$279,4,0)</f>
        <v>0</v>
      </c>
      <c r="J252" s="70">
        <v>1278</v>
      </c>
      <c r="K252" s="3">
        <v>26</v>
      </c>
      <c r="L252" s="3">
        <v>27</v>
      </c>
      <c r="M252" s="38">
        <f>SUM(J252:L252)</f>
        <v>1331</v>
      </c>
      <c r="N252" s="67"/>
      <c r="O252" t="s">
        <v>617</v>
      </c>
      <c r="P252" t="s">
        <v>618</v>
      </c>
      <c r="Q252">
        <v>220</v>
      </c>
      <c r="R252">
        <v>0</v>
      </c>
      <c r="S252">
        <v>76298</v>
      </c>
      <c r="T252" t="s">
        <v>543</v>
      </c>
    </row>
    <row r="253" spans="1:20" x14ac:dyDescent="0.25">
      <c r="A253" s="37" t="s">
        <v>617</v>
      </c>
      <c r="B253" t="s">
        <v>619</v>
      </c>
      <c r="D253" t="s">
        <v>543</v>
      </c>
      <c r="E253" t="s">
        <v>15</v>
      </c>
      <c r="F253" s="70"/>
      <c r="G253" s="3"/>
      <c r="H253" s="3"/>
      <c r="I253" s="38">
        <f>VLOOKUP(A253,$O$5:$R$279,4,0)</f>
        <v>0</v>
      </c>
      <c r="J253" s="70">
        <v>229</v>
      </c>
      <c r="K253" s="3">
        <v>15</v>
      </c>
      <c r="L253" s="3">
        <v>27</v>
      </c>
      <c r="M253" s="38">
        <f>SUM(J253:L253)</f>
        <v>271</v>
      </c>
      <c r="N253" s="67"/>
      <c r="O253" t="s">
        <v>565</v>
      </c>
      <c r="P253" t="s">
        <v>620</v>
      </c>
      <c r="Q253">
        <v>220</v>
      </c>
      <c r="R253">
        <v>0</v>
      </c>
      <c r="S253">
        <v>10737</v>
      </c>
      <c r="T253" t="s">
        <v>543</v>
      </c>
    </row>
    <row r="254" spans="1:20" x14ac:dyDescent="0.25">
      <c r="A254" s="37" t="s">
        <v>621</v>
      </c>
      <c r="B254" t="s">
        <v>622</v>
      </c>
      <c r="D254" t="s">
        <v>543</v>
      </c>
      <c r="E254" t="s">
        <v>15</v>
      </c>
      <c r="F254" s="70"/>
      <c r="G254" s="3"/>
      <c r="H254" s="3"/>
      <c r="I254" s="38">
        <f>VLOOKUP(A254,$O$5:$R$279,4,0)</f>
        <v>0</v>
      </c>
      <c r="J254" s="70">
        <v>278</v>
      </c>
      <c r="K254" s="3">
        <v>11</v>
      </c>
      <c r="L254" s="3">
        <v>4</v>
      </c>
      <c r="M254" s="38">
        <f>SUM(J254:L254)</f>
        <v>293</v>
      </c>
      <c r="N254" s="67"/>
      <c r="O254" t="s">
        <v>585</v>
      </c>
      <c r="P254" t="s">
        <v>623</v>
      </c>
      <c r="Q254">
        <v>220</v>
      </c>
      <c r="R254">
        <v>0</v>
      </c>
      <c r="S254">
        <v>10747</v>
      </c>
      <c r="T254" t="s">
        <v>543</v>
      </c>
    </row>
    <row r="255" spans="1:20" x14ac:dyDescent="0.25">
      <c r="A255" s="37" t="s">
        <v>624</v>
      </c>
      <c r="B255" t="s">
        <v>625</v>
      </c>
      <c r="D255" t="s">
        <v>543</v>
      </c>
      <c r="E255" t="s">
        <v>15</v>
      </c>
      <c r="F255" s="70"/>
      <c r="G255" s="3"/>
      <c r="H255" s="3"/>
      <c r="I255" s="38">
        <f>VLOOKUP(A255,$O$5:$R$279,4,0)</f>
        <v>0</v>
      </c>
      <c r="J255" s="70">
        <v>166</v>
      </c>
      <c r="K255" s="3">
        <v>6</v>
      </c>
      <c r="L255" s="3">
        <v>5</v>
      </c>
      <c r="M255" s="38">
        <f>SUM(J255:L255)</f>
        <v>177</v>
      </c>
      <c r="N255" s="67"/>
      <c r="O255" t="s">
        <v>577</v>
      </c>
      <c r="P255" t="s">
        <v>626</v>
      </c>
      <c r="Q255">
        <v>220</v>
      </c>
      <c r="R255">
        <v>0</v>
      </c>
      <c r="S255">
        <v>10743</v>
      </c>
      <c r="T255" t="s">
        <v>543</v>
      </c>
    </row>
    <row r="256" spans="1:20" ht="15.75" thickBot="1" x14ac:dyDescent="0.3">
      <c r="A256" s="41" t="s">
        <v>627</v>
      </c>
      <c r="B256" s="13" t="s">
        <v>628</v>
      </c>
      <c r="C256" s="13"/>
      <c r="D256" s="13" t="s">
        <v>543</v>
      </c>
      <c r="E256" s="13" t="s">
        <v>15</v>
      </c>
      <c r="F256" s="77"/>
      <c r="G256" s="32"/>
      <c r="H256" s="32"/>
      <c r="I256" s="52">
        <f>VLOOKUP(A256,$O$5:$R$279,4,0)</f>
        <v>0</v>
      </c>
      <c r="J256" s="77">
        <v>70</v>
      </c>
      <c r="K256" s="32">
        <v>6</v>
      </c>
      <c r="L256" s="32">
        <v>7</v>
      </c>
      <c r="M256" s="52">
        <f>SUM(J256:L256)</f>
        <v>83</v>
      </c>
      <c r="N256" s="67"/>
      <c r="O256" t="s">
        <v>561</v>
      </c>
      <c r="P256" t="s">
        <v>629</v>
      </c>
      <c r="Q256">
        <v>220</v>
      </c>
      <c r="R256">
        <v>0</v>
      </c>
      <c r="S256">
        <v>10734</v>
      </c>
      <c r="T256" t="s">
        <v>543</v>
      </c>
    </row>
    <row r="257" spans="1:20" x14ac:dyDescent="0.25">
      <c r="A257" s="36" t="s">
        <v>607</v>
      </c>
      <c r="B257" s="11" t="s">
        <v>630</v>
      </c>
      <c r="C257" s="11"/>
      <c r="D257" s="11" t="s">
        <v>631</v>
      </c>
      <c r="E257" s="11" t="s">
        <v>16</v>
      </c>
      <c r="F257" s="76"/>
      <c r="G257" s="50"/>
      <c r="H257" s="50"/>
      <c r="I257" s="51">
        <f>VLOOKUP(A257,$O$5:$R$279,4,0)</f>
        <v>0</v>
      </c>
      <c r="J257" s="76">
        <v>408</v>
      </c>
      <c r="K257" s="50">
        <v>4</v>
      </c>
      <c r="L257" s="50">
        <v>4</v>
      </c>
      <c r="M257" s="51">
        <f>SUM(J257:L257)</f>
        <v>416</v>
      </c>
      <c r="N257" s="67"/>
      <c r="O257" t="s">
        <v>541</v>
      </c>
      <c r="P257" t="s">
        <v>632</v>
      </c>
      <c r="Q257">
        <v>220</v>
      </c>
      <c r="R257">
        <v>0</v>
      </c>
      <c r="S257">
        <v>10729</v>
      </c>
      <c r="T257" t="s">
        <v>543</v>
      </c>
    </row>
    <row r="258" spans="1:20" x14ac:dyDescent="0.25">
      <c r="A258" s="37" t="s">
        <v>537</v>
      </c>
      <c r="B258" t="s">
        <v>633</v>
      </c>
      <c r="D258" t="s">
        <v>631</v>
      </c>
      <c r="E258" t="s">
        <v>16</v>
      </c>
      <c r="F258" s="70"/>
      <c r="G258" s="3"/>
      <c r="H258" s="3"/>
      <c r="I258" s="38">
        <f>VLOOKUP(A258,$O$5:$R$279,4,0)</f>
        <v>12044</v>
      </c>
      <c r="J258" s="70">
        <v>644</v>
      </c>
      <c r="K258" s="3">
        <v>3</v>
      </c>
      <c r="L258" s="3">
        <v>3</v>
      </c>
      <c r="M258" s="38">
        <f>SUM(J258:L258)</f>
        <v>650</v>
      </c>
      <c r="N258" s="67"/>
      <c r="O258" t="s">
        <v>621</v>
      </c>
      <c r="P258" t="s">
        <v>634</v>
      </c>
      <c r="Q258">
        <v>220</v>
      </c>
      <c r="R258">
        <v>0</v>
      </c>
      <c r="S258">
        <v>76299</v>
      </c>
      <c r="T258" t="s">
        <v>543</v>
      </c>
    </row>
    <row r="259" spans="1:20" x14ac:dyDescent="0.25">
      <c r="A259" s="37" t="s">
        <v>539</v>
      </c>
      <c r="B259" t="s">
        <v>635</v>
      </c>
      <c r="D259" t="s">
        <v>631</v>
      </c>
      <c r="E259" t="s">
        <v>16</v>
      </c>
      <c r="F259" s="70"/>
      <c r="G259" s="3"/>
      <c r="H259" s="3"/>
      <c r="I259" s="38">
        <f>VLOOKUP(A259,$O$5:$R$279,4,0)</f>
        <v>0</v>
      </c>
      <c r="J259" s="70">
        <v>1417</v>
      </c>
      <c r="K259" s="3">
        <v>17</v>
      </c>
      <c r="L259" s="3">
        <v>52</v>
      </c>
      <c r="M259" s="38">
        <f>SUM(J259:L259)</f>
        <v>1486</v>
      </c>
      <c r="N259" s="67"/>
      <c r="O259" t="s">
        <v>546</v>
      </c>
      <c r="P259" t="s">
        <v>636</v>
      </c>
      <c r="Q259">
        <v>220</v>
      </c>
      <c r="R259">
        <v>0</v>
      </c>
      <c r="S259">
        <v>10730</v>
      </c>
      <c r="T259" t="s">
        <v>543</v>
      </c>
    </row>
    <row r="260" spans="1:20" x14ac:dyDescent="0.25">
      <c r="A260" s="37" t="s">
        <v>579</v>
      </c>
      <c r="B260" t="s">
        <v>637</v>
      </c>
      <c r="D260" t="s">
        <v>631</v>
      </c>
      <c r="E260" t="s">
        <v>16</v>
      </c>
      <c r="F260" s="37"/>
      <c r="H260" s="3"/>
      <c r="I260" s="38">
        <f>VLOOKUP(A260,$O$5:$R$279,4,0)</f>
        <v>0</v>
      </c>
      <c r="J260" s="70">
        <v>371</v>
      </c>
      <c r="K260" s="3">
        <v>14</v>
      </c>
      <c r="L260" s="3">
        <v>5</v>
      </c>
      <c r="M260" s="38">
        <f>SUM(J260:L260)</f>
        <v>390</v>
      </c>
      <c r="N260" s="67"/>
      <c r="O260" t="s">
        <v>624</v>
      </c>
      <c r="P260" t="s">
        <v>638</v>
      </c>
      <c r="Q260">
        <v>220</v>
      </c>
      <c r="R260">
        <v>0</v>
      </c>
      <c r="S260">
        <v>76300</v>
      </c>
      <c r="T260" t="s">
        <v>543</v>
      </c>
    </row>
    <row r="261" spans="1:20" x14ac:dyDescent="0.25">
      <c r="A261" s="37" t="s">
        <v>583</v>
      </c>
      <c r="B261" t="s">
        <v>639</v>
      </c>
      <c r="D261" t="s">
        <v>631</v>
      </c>
      <c r="E261" t="s">
        <v>16</v>
      </c>
      <c r="F261" s="37"/>
      <c r="H261" s="3"/>
      <c r="I261" s="38">
        <f>VLOOKUP(A261,$O$5:$R$279,4,0)</f>
        <v>0</v>
      </c>
      <c r="J261" s="70">
        <v>1199</v>
      </c>
      <c r="K261" s="3">
        <v>14</v>
      </c>
      <c r="L261" s="3">
        <v>7</v>
      </c>
      <c r="M261" s="38">
        <f>SUM(J261:L261)</f>
        <v>1220</v>
      </c>
      <c r="N261" s="67"/>
      <c r="O261" t="s">
        <v>627</v>
      </c>
      <c r="P261" t="s">
        <v>640</v>
      </c>
      <c r="Q261">
        <v>220</v>
      </c>
      <c r="R261">
        <v>0</v>
      </c>
      <c r="S261">
        <v>76301</v>
      </c>
      <c r="T261" t="s">
        <v>543</v>
      </c>
    </row>
    <row r="262" spans="1:20" x14ac:dyDescent="0.25">
      <c r="A262" s="37" t="s">
        <v>587</v>
      </c>
      <c r="B262" t="s">
        <v>641</v>
      </c>
      <c r="D262" t="s">
        <v>631</v>
      </c>
      <c r="E262" t="s">
        <v>16</v>
      </c>
      <c r="F262" s="70"/>
      <c r="G262" s="3"/>
      <c r="H262" s="3"/>
      <c r="I262" s="38">
        <f>VLOOKUP(A262,$O$5:$R$279,4,0)</f>
        <v>0</v>
      </c>
      <c r="J262" s="70">
        <v>361</v>
      </c>
      <c r="K262" s="3">
        <v>1</v>
      </c>
      <c r="L262" s="3">
        <v>2</v>
      </c>
      <c r="M262" s="38">
        <f>SUM(J262:L262)</f>
        <v>364</v>
      </c>
      <c r="N262" s="67"/>
      <c r="O262" t="s">
        <v>557</v>
      </c>
      <c r="P262" t="s">
        <v>642</v>
      </c>
      <c r="Q262">
        <v>220</v>
      </c>
      <c r="R262">
        <v>0</v>
      </c>
      <c r="S262">
        <v>10733</v>
      </c>
      <c r="T262" t="s">
        <v>543</v>
      </c>
    </row>
    <row r="263" spans="1:20" x14ac:dyDescent="0.25">
      <c r="A263" s="37" t="s">
        <v>591</v>
      </c>
      <c r="B263" t="s">
        <v>643</v>
      </c>
      <c r="D263" t="s">
        <v>631</v>
      </c>
      <c r="E263" t="s">
        <v>16</v>
      </c>
      <c r="F263" s="70"/>
      <c r="G263" s="3"/>
      <c r="H263" s="3"/>
      <c r="I263" s="38">
        <f>VLOOKUP(A263,$O$5:$R$279,4,0)</f>
        <v>0</v>
      </c>
      <c r="J263" s="70">
        <v>709</v>
      </c>
      <c r="K263" s="3">
        <v>7</v>
      </c>
      <c r="L263" s="3">
        <v>3</v>
      </c>
      <c r="M263" s="38">
        <f>SUM(J263:L263)</f>
        <v>719</v>
      </c>
      <c r="N263" s="67"/>
      <c r="O263" t="s">
        <v>549</v>
      </c>
      <c r="P263" t="s">
        <v>644</v>
      </c>
      <c r="Q263">
        <v>220</v>
      </c>
      <c r="R263">
        <v>0</v>
      </c>
      <c r="S263">
        <v>10731</v>
      </c>
      <c r="T263" t="s">
        <v>543</v>
      </c>
    </row>
    <row r="264" spans="1:20" x14ac:dyDescent="0.25">
      <c r="A264" s="37" t="s">
        <v>595</v>
      </c>
      <c r="B264" t="s">
        <v>645</v>
      </c>
      <c r="D264" t="s">
        <v>631</v>
      </c>
      <c r="E264" t="s">
        <v>16</v>
      </c>
      <c r="F264" s="70"/>
      <c r="G264" s="3"/>
      <c r="H264" s="3"/>
      <c r="I264" s="38">
        <f>VLOOKUP(A264,$O$5:$R$279,4,0)</f>
        <v>0</v>
      </c>
      <c r="J264" s="70">
        <v>236</v>
      </c>
      <c r="K264" s="3">
        <v>5</v>
      </c>
      <c r="L264" s="3">
        <v>3</v>
      </c>
      <c r="M264" s="38">
        <f>SUM(J264:L264)</f>
        <v>244</v>
      </c>
      <c r="N264" s="67"/>
      <c r="O264" t="s">
        <v>646</v>
      </c>
      <c r="P264" t="s">
        <v>647</v>
      </c>
      <c r="Q264">
        <v>220</v>
      </c>
      <c r="R264">
        <v>0</v>
      </c>
      <c r="S264">
        <v>76156</v>
      </c>
      <c r="T264" t="s">
        <v>543</v>
      </c>
    </row>
    <row r="265" spans="1:20" x14ac:dyDescent="0.25">
      <c r="A265" s="37" t="s">
        <v>599</v>
      </c>
      <c r="B265" t="s">
        <v>648</v>
      </c>
      <c r="D265" t="s">
        <v>631</v>
      </c>
      <c r="E265" t="s">
        <v>16</v>
      </c>
      <c r="F265" s="70"/>
      <c r="G265" s="3"/>
      <c r="H265" s="3"/>
      <c r="I265" s="38">
        <f>VLOOKUP(A265,$O$5:$R$279,4,0)</f>
        <v>0</v>
      </c>
      <c r="J265" s="70">
        <v>824</v>
      </c>
      <c r="K265" s="3">
        <v>5</v>
      </c>
      <c r="L265" s="3">
        <v>7</v>
      </c>
      <c r="M265" s="38">
        <f>SUM(J265:L265)</f>
        <v>836</v>
      </c>
      <c r="N265" s="67"/>
      <c r="O265" t="s">
        <v>649</v>
      </c>
      <c r="P265" t="s">
        <v>650</v>
      </c>
      <c r="Q265">
        <v>220</v>
      </c>
      <c r="R265">
        <v>0</v>
      </c>
      <c r="S265">
        <v>10738</v>
      </c>
      <c r="T265" t="s">
        <v>543</v>
      </c>
    </row>
    <row r="266" spans="1:20" x14ac:dyDescent="0.25">
      <c r="A266" s="37" t="s">
        <v>603</v>
      </c>
      <c r="B266" t="s">
        <v>651</v>
      </c>
      <c r="D266" t="s">
        <v>631</v>
      </c>
      <c r="E266" t="s">
        <v>16</v>
      </c>
      <c r="F266" s="70"/>
      <c r="G266" s="3"/>
      <c r="H266" s="3"/>
      <c r="I266" s="38">
        <f>VLOOKUP(A266,$O$5:$R$279,4,0)</f>
        <v>0</v>
      </c>
      <c r="J266" s="70">
        <v>1375</v>
      </c>
      <c r="K266" s="3">
        <v>30</v>
      </c>
      <c r="L266" s="3">
        <v>14</v>
      </c>
      <c r="M266" s="38">
        <f>SUM(J266:L266)</f>
        <v>1419</v>
      </c>
      <c r="N266" s="67"/>
      <c r="O266" t="s">
        <v>615</v>
      </c>
      <c r="P266" t="s">
        <v>652</v>
      </c>
      <c r="Q266">
        <v>220</v>
      </c>
      <c r="R266">
        <v>0</v>
      </c>
      <c r="S266">
        <v>10755</v>
      </c>
      <c r="T266" t="s">
        <v>543</v>
      </c>
    </row>
    <row r="267" spans="1:20" x14ac:dyDescent="0.25">
      <c r="A267" s="37" t="s">
        <v>551</v>
      </c>
      <c r="B267" t="s">
        <v>653</v>
      </c>
      <c r="D267" t="s">
        <v>631</v>
      </c>
      <c r="E267" t="s">
        <v>16</v>
      </c>
      <c r="F267" s="70"/>
      <c r="G267" s="3"/>
      <c r="H267" s="3"/>
      <c r="I267" s="38">
        <f>VLOOKUP(A267,$O$5:$R$279,4,0)</f>
        <v>0</v>
      </c>
      <c r="J267" s="70">
        <v>1278</v>
      </c>
      <c r="K267" s="3">
        <v>35</v>
      </c>
      <c r="L267" s="3">
        <v>32</v>
      </c>
      <c r="M267" s="38">
        <f>SUM(J267:L267)</f>
        <v>1345</v>
      </c>
      <c r="N267" s="67"/>
      <c r="O267" t="s">
        <v>569</v>
      </c>
      <c r="P267" t="s">
        <v>654</v>
      </c>
      <c r="Q267">
        <v>220</v>
      </c>
      <c r="R267">
        <v>0</v>
      </c>
      <c r="S267">
        <v>10739</v>
      </c>
      <c r="T267" t="s">
        <v>543</v>
      </c>
    </row>
    <row r="268" spans="1:20" x14ac:dyDescent="0.25">
      <c r="A268" s="37" t="s">
        <v>555</v>
      </c>
      <c r="B268" t="s">
        <v>655</v>
      </c>
      <c r="D268" t="s">
        <v>631</v>
      </c>
      <c r="E268" t="s">
        <v>16</v>
      </c>
      <c r="F268" s="70"/>
      <c r="G268" s="3"/>
      <c r="H268" s="3"/>
      <c r="I268" s="38">
        <f>VLOOKUP(A268,$O$5:$R$279,4,0)</f>
        <v>0</v>
      </c>
      <c r="J268" s="70">
        <v>24</v>
      </c>
      <c r="K268" s="3">
        <v>2</v>
      </c>
      <c r="L268" s="3">
        <v>0</v>
      </c>
      <c r="M268" s="38">
        <f>SUM(J268:L268)</f>
        <v>26</v>
      </c>
      <c r="N268" s="67"/>
      <c r="O268" t="s">
        <v>573</v>
      </c>
      <c r="P268" t="s">
        <v>656</v>
      </c>
      <c r="Q268">
        <v>220</v>
      </c>
      <c r="R268">
        <v>0</v>
      </c>
      <c r="S268">
        <v>10740</v>
      </c>
      <c r="T268" t="s">
        <v>543</v>
      </c>
    </row>
    <row r="269" spans="1:20" ht="15.75" thickBot="1" x14ac:dyDescent="0.3">
      <c r="A269" s="41" t="s">
        <v>544</v>
      </c>
      <c r="B269" s="13" t="s">
        <v>657</v>
      </c>
      <c r="C269" s="13"/>
      <c r="D269" s="13" t="s">
        <v>631</v>
      </c>
      <c r="E269" s="13" t="s">
        <v>16</v>
      </c>
      <c r="F269" s="77"/>
      <c r="G269" s="32"/>
      <c r="H269" s="32"/>
      <c r="I269" s="52">
        <f>VLOOKUP(A269,$O$5:$R$279,4,0)</f>
        <v>0</v>
      </c>
      <c r="J269" s="77">
        <v>5142</v>
      </c>
      <c r="K269" s="32">
        <v>97</v>
      </c>
      <c r="L269" s="32">
        <v>195</v>
      </c>
      <c r="M269" s="52">
        <f>SUM(J269:L269)</f>
        <v>5434</v>
      </c>
      <c r="N269" s="67"/>
      <c r="O269" t="s">
        <v>589</v>
      </c>
      <c r="P269" t="s">
        <v>658</v>
      </c>
      <c r="Q269">
        <v>220</v>
      </c>
      <c r="R269">
        <v>0</v>
      </c>
      <c r="S269">
        <v>10748</v>
      </c>
      <c r="T269" t="s">
        <v>543</v>
      </c>
    </row>
    <row r="270" spans="1:20" ht="15.75" thickBot="1" x14ac:dyDescent="0.3">
      <c r="A270" s="24" t="s">
        <v>3</v>
      </c>
      <c r="B270" s="25"/>
      <c r="C270" s="26"/>
      <c r="D270" s="26"/>
      <c r="E270" s="26"/>
      <c r="F270" s="75">
        <f>SUMIF(F8:F232,"&gt;0",F8:F232)</f>
        <v>0</v>
      </c>
      <c r="G270" s="21">
        <f>SUMIF(G8:G232,"&gt;0",G8:G232)</f>
        <v>0</v>
      </c>
      <c r="H270" s="21">
        <f>SUMIF(H8:H232,"&gt;0",H8:H232)</f>
        <v>0</v>
      </c>
      <c r="I270" s="93">
        <f>SUMIF(I8:I269,"&gt;0",I8:I269)</f>
        <v>887330</v>
      </c>
      <c r="J270" s="75">
        <f>SUMIF(J8:J269,"&gt;0",J8:J269)</f>
        <v>965610</v>
      </c>
      <c r="K270" s="21">
        <f>SUMIF(K8:K269,"&gt;0",K8:K269)</f>
        <v>53875</v>
      </c>
      <c r="L270" s="21">
        <f>SUMIF(L8:L269,"&gt;0",L8:L269)</f>
        <v>171817</v>
      </c>
      <c r="M270" s="93">
        <f>SUMIF(M8:M269,"&gt;0",M8:M269)</f>
        <v>1191302</v>
      </c>
      <c r="N270" s="68"/>
      <c r="O270" t="s">
        <v>593</v>
      </c>
      <c r="P270" t="s">
        <v>659</v>
      </c>
      <c r="Q270">
        <v>220</v>
      </c>
      <c r="R270">
        <v>0</v>
      </c>
      <c r="S270">
        <v>10749</v>
      </c>
      <c r="T270" t="s">
        <v>543</v>
      </c>
    </row>
    <row r="271" spans="1:20" ht="15.75" thickBot="1" x14ac:dyDescent="0.3">
      <c r="A271" s="6"/>
      <c r="B271" s="7"/>
      <c r="C271" s="7"/>
      <c r="D271" s="7"/>
      <c r="E271" s="7"/>
      <c r="F271" s="30"/>
      <c r="G271" s="30"/>
      <c r="H271" s="30"/>
      <c r="I271" s="22"/>
      <c r="J271" s="22"/>
      <c r="K271" s="22"/>
      <c r="L271" s="22"/>
      <c r="M271" s="22"/>
      <c r="N271" s="68"/>
      <c r="O271" t="s">
        <v>597</v>
      </c>
      <c r="P271" t="s">
        <v>660</v>
      </c>
      <c r="Q271">
        <v>220</v>
      </c>
      <c r="R271">
        <v>0</v>
      </c>
      <c r="S271">
        <v>10750</v>
      </c>
      <c r="T271" t="s">
        <v>543</v>
      </c>
    </row>
    <row r="272" spans="1:20" ht="30" customHeight="1" thickBot="1" x14ac:dyDescent="0.3">
      <c r="B272" s="6" t="s">
        <v>661</v>
      </c>
      <c r="C272" s="7"/>
      <c r="D272" s="87"/>
      <c r="E272" s="82"/>
      <c r="F272" s="97" t="s">
        <v>0</v>
      </c>
      <c r="G272" s="97"/>
      <c r="H272" s="97"/>
      <c r="I272" s="97"/>
      <c r="J272" s="99" t="s">
        <v>691</v>
      </c>
      <c r="K272" s="100"/>
      <c r="L272" s="100"/>
      <c r="M272" s="101"/>
      <c r="N272" s="66"/>
      <c r="O272" t="s">
        <v>601</v>
      </c>
      <c r="P272" t="s">
        <v>662</v>
      </c>
      <c r="Q272">
        <v>220</v>
      </c>
      <c r="R272">
        <v>0</v>
      </c>
      <c r="S272">
        <v>10751</v>
      </c>
      <c r="T272" t="s">
        <v>543</v>
      </c>
    </row>
    <row r="273" spans="1:20" ht="15.75" thickBot="1" x14ac:dyDescent="0.3">
      <c r="B273" s="7"/>
      <c r="C273" s="6"/>
      <c r="D273" s="69" t="s">
        <v>663</v>
      </c>
      <c r="E273" s="83" t="s">
        <v>41</v>
      </c>
      <c r="F273" s="63" t="s">
        <v>42</v>
      </c>
      <c r="G273" s="63" t="s">
        <v>43</v>
      </c>
      <c r="H273" s="63" t="s">
        <v>44</v>
      </c>
      <c r="I273" s="63" t="s">
        <v>45</v>
      </c>
      <c r="J273" s="62" t="s">
        <v>42</v>
      </c>
      <c r="K273" s="63" t="s">
        <v>43</v>
      </c>
      <c r="L273" s="63" t="s">
        <v>44</v>
      </c>
      <c r="M273" s="64" t="s">
        <v>45</v>
      </c>
      <c r="N273" s="66"/>
      <c r="O273" t="s">
        <v>605</v>
      </c>
      <c r="P273" t="s">
        <v>664</v>
      </c>
      <c r="Q273">
        <v>220</v>
      </c>
      <c r="R273">
        <v>0</v>
      </c>
      <c r="S273">
        <v>10752</v>
      </c>
      <c r="T273" t="s">
        <v>543</v>
      </c>
    </row>
    <row r="274" spans="1:20" x14ac:dyDescent="0.25">
      <c r="A274" s="2"/>
      <c r="C274" s="9"/>
      <c r="D274" s="89">
        <f>COUNTIF($E$8:$E$232,E274)</f>
        <v>3</v>
      </c>
      <c r="E274" s="73" t="s">
        <v>6</v>
      </c>
      <c r="F274" s="3"/>
      <c r="G274" s="3"/>
      <c r="H274" s="3"/>
      <c r="I274" s="3">
        <f>SUMIFS(I$6:I$270,$E$6:$E$270,$E274,I$6:I$270,"&gt;0")</f>
        <v>296977</v>
      </c>
      <c r="J274" s="70">
        <f>SUMIFS(J$6:J$270,$E$6:$E$270,$E274,J$6:J$270,"&gt;0")</f>
        <v>285445</v>
      </c>
      <c r="K274" s="3">
        <f>SUMIFS(K$6:K$270,$E$6:$E$270,$E274,K$6:K$270,"&gt;0")</f>
        <v>22884</v>
      </c>
      <c r="L274" s="3">
        <f>SUMIFS(L$6:L$270,$E$6:$E$270,$E274,L$6:L$270,"&gt;0")</f>
        <v>54473</v>
      </c>
      <c r="M274" s="38">
        <f>SUMIFS(M$6:M$270,$E$6:$E$270,$E274,M$6:M$270,"&gt;0")</f>
        <v>362802</v>
      </c>
      <c r="N274" s="67"/>
      <c r="O274" t="s">
        <v>609</v>
      </c>
      <c r="P274" t="s">
        <v>665</v>
      </c>
      <c r="Q274">
        <v>220</v>
      </c>
      <c r="R274">
        <v>0</v>
      </c>
      <c r="S274">
        <v>10753</v>
      </c>
      <c r="T274" t="s">
        <v>543</v>
      </c>
    </row>
    <row r="275" spans="1:20" x14ac:dyDescent="0.25">
      <c r="A275" s="2"/>
      <c r="D275" s="89">
        <f>COUNTIF($E$8:$E$232,E275)</f>
        <v>5</v>
      </c>
      <c r="E275" s="73" t="s">
        <v>7</v>
      </c>
      <c r="F275" s="3"/>
      <c r="G275" s="3"/>
      <c r="H275" s="3"/>
      <c r="I275" s="3">
        <f>SUMIFS(I$6:I$270,$E$6:$E$270,$E275,I$6:I$270,"&gt;0")</f>
        <v>117899</v>
      </c>
      <c r="J275" s="70">
        <f>SUMIFS(J$6:J$270,$E$6:$E$270,$E275,J$6:J$270,"&gt;0")</f>
        <v>109836</v>
      </c>
      <c r="K275" s="3">
        <f>SUMIFS(K$6:K$270,$E$6:$E$270,$E275,K$6:K$270,"&gt;0")</f>
        <v>7087</v>
      </c>
      <c r="L275" s="3">
        <f>SUMIFS(L$6:L$270,$E$6:$E$270,$E275,L$6:L$270,"&gt;0")</f>
        <v>13009</v>
      </c>
      <c r="M275" s="38">
        <f>SUMIFS(M$6:M$270,$E$6:$E$270,$E275,M$6:M$270,"&gt;0")</f>
        <v>129932</v>
      </c>
      <c r="N275" s="67"/>
      <c r="O275" t="s">
        <v>612</v>
      </c>
      <c r="P275" t="s">
        <v>666</v>
      </c>
      <c r="Q275">
        <v>220</v>
      </c>
      <c r="R275">
        <v>0</v>
      </c>
      <c r="S275">
        <v>10754</v>
      </c>
      <c r="T275" t="s">
        <v>543</v>
      </c>
    </row>
    <row r="276" spans="1:20" x14ac:dyDescent="0.25">
      <c r="A276" s="2"/>
      <c r="D276" s="89">
        <f>COUNTIF($E$8:$E$232,E276)</f>
        <v>14</v>
      </c>
      <c r="E276" s="73" t="s">
        <v>8</v>
      </c>
      <c r="F276" s="3"/>
      <c r="G276" s="3"/>
      <c r="H276" s="3"/>
      <c r="I276" s="3">
        <f>SUMIFS(I$6:I$270,$E$6:$E$270,$E276,I$6:I$270,"&gt;0")</f>
        <v>111755</v>
      </c>
      <c r="J276" s="70">
        <f>SUMIFS(J$6:J$270,$E$6:$E$270,$E276,J$6:J$270,"&gt;0")</f>
        <v>73119</v>
      </c>
      <c r="K276" s="3">
        <f>SUMIFS(K$6:K$270,$E$6:$E$270,$E276,K$6:K$270,"&gt;0")</f>
        <v>18620</v>
      </c>
      <c r="L276" s="3">
        <f>SUMIFS(L$6:L$270,$E$6:$E$270,$E276,L$6:L$270,"&gt;0")</f>
        <v>87364</v>
      </c>
      <c r="M276" s="38">
        <f>SUMIFS(M$6:M$270,$E$6:$E$270,$E276,M$6:M$270,"&gt;0")</f>
        <v>179103</v>
      </c>
      <c r="N276" s="67"/>
    </row>
    <row r="277" spans="1:20" x14ac:dyDescent="0.25">
      <c r="A277" s="2"/>
      <c r="D277" s="89">
        <f>COUNTIF($E$8:$E$232,E277)</f>
        <v>5</v>
      </c>
      <c r="E277" s="73" t="s">
        <v>9</v>
      </c>
      <c r="F277" s="3"/>
      <c r="G277" s="3"/>
      <c r="H277" s="3"/>
      <c r="I277" s="3">
        <f>SUMIFS(I$6:I$270,$E$6:$E$270,$E277,I$6:I$270,"&gt;0")</f>
        <v>5410</v>
      </c>
      <c r="J277" s="70">
        <f>SUMIFS(J$6:J$270,$E$6:$E$270,$E277,J$6:J$270,"&gt;0")</f>
        <v>1451</v>
      </c>
      <c r="K277" s="3">
        <f>SUMIFS(K$6:K$270,$E$6:$E$270,$E277,K$6:K$270,"&gt;0")</f>
        <v>200</v>
      </c>
      <c r="L277" s="3">
        <f>SUMIFS(L$6:L$270,$E$6:$E$270,$E277,L$6:L$270,"&gt;0")</f>
        <v>1918</v>
      </c>
      <c r="M277" s="38">
        <f>SUMIFS(M$6:M$270,$E$6:$E$270,$E277,M$6:M$270,"&gt;0")</f>
        <v>3569</v>
      </c>
      <c r="N277" s="67"/>
    </row>
    <row r="278" spans="1:20" x14ac:dyDescent="0.25">
      <c r="A278" s="2"/>
      <c r="D278" s="89">
        <f>COUNTIF($E$8:$E$232,E278)</f>
        <v>6</v>
      </c>
      <c r="E278" s="73" t="s">
        <v>10</v>
      </c>
      <c r="F278" s="3"/>
      <c r="G278" s="3"/>
      <c r="H278" s="3"/>
      <c r="I278" s="3">
        <f>SUMIFS(I$6:I$270,$E$6:$E$270,$E278,I$6:I$270,"&gt;0")</f>
        <v>33236</v>
      </c>
      <c r="J278" s="70">
        <f>SUMIFS(J$6:J$270,$E$6:$E$270,$E278,J$6:J$270,"&gt;0")</f>
        <v>45421</v>
      </c>
      <c r="K278" s="3">
        <f>SUMIFS(K$6:K$270,$E$6:$E$270,$E278,K$6:K$270,"&gt;0")</f>
        <v>1003</v>
      </c>
      <c r="L278" s="3">
        <f>SUMIFS(L$6:L$270,$E$6:$E$270,$E278,L$6:L$270,"&gt;0")</f>
        <v>2820</v>
      </c>
      <c r="M278" s="38">
        <f>SUMIFS(M$6:M$270,$E$6:$E$270,$E278,M$6:M$270,"&gt;0")</f>
        <v>49244</v>
      </c>
      <c r="N278" s="67"/>
    </row>
    <row r="279" spans="1:20" x14ac:dyDescent="0.25">
      <c r="A279" s="2"/>
      <c r="D279" s="89">
        <f>COUNTIF($E$8:$E$232,E279)</f>
        <v>130</v>
      </c>
      <c r="E279" s="73" t="s">
        <v>11</v>
      </c>
      <c r="F279" s="3"/>
      <c r="G279" s="3"/>
      <c r="H279" s="3"/>
      <c r="I279" s="3">
        <f>SUMIFS(I$6:I$270,$E$6:$E$270,$E279,I$6:I$270,"&gt;0")</f>
        <v>174323</v>
      </c>
      <c r="J279" s="70">
        <f>SUMIFS(J$6:J$270,$E$6:$E$270,$E279,J$6:J$270,"&gt;0")</f>
        <v>248254</v>
      </c>
      <c r="K279" s="3">
        <f>SUMIFS(K$6:K$270,$E$6:$E$270,$E279,K$6:K$270,"&gt;0")</f>
        <v>2513</v>
      </c>
      <c r="L279" s="3">
        <f>SUMIFS(L$6:L$270,$E$6:$E$270,$E279,L$6:L$270,"&gt;0")</f>
        <v>8494</v>
      </c>
      <c r="M279" s="38">
        <f>SUMIFS(M$6:M$270,$E$6:$E$270,$E279,M$6:M$270,"&gt;0")</f>
        <v>259261</v>
      </c>
      <c r="N279" s="67"/>
    </row>
    <row r="280" spans="1:20" x14ac:dyDescent="0.25">
      <c r="A280" s="6"/>
      <c r="B280" s="7"/>
      <c r="D280" s="89">
        <f>COUNTIF($E$8:$E$232,E280)</f>
        <v>15</v>
      </c>
      <c r="E280" s="73" t="s">
        <v>12</v>
      </c>
      <c r="F280" s="3"/>
      <c r="G280" s="3"/>
      <c r="H280" s="3"/>
      <c r="I280" s="3">
        <f>SUMIFS(I$6:I$270,$E$6:$E$270,$E280,I$6:I$270,"&gt;0")</f>
        <v>118101</v>
      </c>
      <c r="J280" s="70">
        <f>SUMIFS(J$6:J$270,$E$6:$E$270,$E280,J$6:J$270,"&gt;0")</f>
        <v>170684</v>
      </c>
      <c r="K280" s="3">
        <f>SUMIFS(K$6:K$270,$E$6:$E$270,$E280,K$6:K$270,"&gt;0")</f>
        <v>935</v>
      </c>
      <c r="L280" s="3">
        <f>SUMIFS(L$6:L$270,$E$6:$E$270,$E280,L$6:L$270,"&gt;0")</f>
        <v>2569</v>
      </c>
      <c r="M280" s="38">
        <f>SUMIFS(M$6:M$270,$E$6:$E$270,$E280,M$6:M$270,"&gt;0")</f>
        <v>174188</v>
      </c>
      <c r="N280" s="68"/>
    </row>
    <row r="281" spans="1:20" x14ac:dyDescent="0.25">
      <c r="A281" s="6"/>
      <c r="B281" s="7"/>
      <c r="D281" s="89">
        <f>COUNTIF($E$8:$E$232,E281)</f>
        <v>7</v>
      </c>
      <c r="E281" s="73" t="s">
        <v>669</v>
      </c>
      <c r="F281" s="3"/>
      <c r="G281" s="3"/>
      <c r="H281" s="3"/>
      <c r="I281" s="3">
        <f>SUMIFS(I$6:I$270,$E$6:$E$270,$E281,I$6:I$270,"&gt;0")</f>
        <v>7018</v>
      </c>
      <c r="J281" s="70">
        <f>SUMIFS(J$6:J$270,$E$6:$E$270,$E281,J$6:J$270,"&gt;0")</f>
        <v>6315</v>
      </c>
      <c r="K281" s="3">
        <f>SUMIFS(K$6:K$270,$E$6:$E$270,$E281,K$6:K$270,"&gt;0")</f>
        <v>50</v>
      </c>
      <c r="L281" s="3">
        <f>SUMIFS(L$6:L$270,$E$6:$E$270,$E281,L$6:L$270,"&gt;0")</f>
        <v>597</v>
      </c>
      <c r="M281" s="38">
        <f>SUMIFS(M$6:M$270,$E$6:$E$270,$E281,M$6:M$270,"&gt;0")</f>
        <v>6962</v>
      </c>
      <c r="N281" s="68"/>
    </row>
    <row r="282" spans="1:20" x14ac:dyDescent="0.25">
      <c r="A282" s="6"/>
      <c r="B282" s="7"/>
      <c r="D282" s="89">
        <f>COUNTIF($E$8:$E$232,E282)</f>
        <v>21</v>
      </c>
      <c r="E282" s="73" t="s">
        <v>13</v>
      </c>
      <c r="F282" s="3"/>
      <c r="G282" s="3"/>
      <c r="H282" s="3"/>
      <c r="I282" s="3">
        <f>SUMIFS(I$6:I$270,$E$6:$E$270,$E282,I$6:I$270,"&gt;0")</f>
        <v>633</v>
      </c>
      <c r="J282" s="70">
        <f>SUMIFS(J$6:J$270,$E$6:$E$270,$E282,J$6:J$270,"&gt;0")</f>
        <v>619</v>
      </c>
      <c r="K282" s="3">
        <f>SUMIFS(K$6:K$270,$E$6:$E$270,$E282,K$6:K$270,"&gt;0")</f>
        <v>10</v>
      </c>
      <c r="L282" s="3">
        <f>SUMIFS(L$6:L$270,$E$6:$E$270,$E282,L$6:L$270,"&gt;0")</f>
        <v>7</v>
      </c>
      <c r="M282" s="38">
        <f>SUMIFS(M$6:M$270,$E$6:$E$270,$E282,M$6:M$270,"&gt;0")</f>
        <v>636</v>
      </c>
      <c r="N282" s="68"/>
    </row>
    <row r="283" spans="1:20" x14ac:dyDescent="0.25">
      <c r="A283" s="6"/>
      <c r="B283" s="7"/>
      <c r="D283" s="89">
        <f>COUNTIF($E$8:$E$232,E283)</f>
        <v>19</v>
      </c>
      <c r="E283" s="73" t="s">
        <v>14</v>
      </c>
      <c r="F283" s="3"/>
      <c r="G283" s="3"/>
      <c r="H283" s="3"/>
      <c r="I283" s="3">
        <f>SUMIFS(I$6:I$270,$E$6:$E$270,$E283,I$6:I$270,"&gt;0")</f>
        <v>2470</v>
      </c>
      <c r="J283" s="70">
        <f>SUMIFS(J$6:J$270,$E$6:$E$270,$E283,J$6:J$270,"&gt;0")</f>
        <v>2609</v>
      </c>
      <c r="K283" s="3">
        <f>SUMIFS(K$6:K$270,$E$6:$E$270,$E283,K$6:K$270,"&gt;0")</f>
        <v>166</v>
      </c>
      <c r="L283" s="3">
        <f>SUMIFS(L$6:L$270,$E$6:$E$270,$E283,L$6:L$270,"&gt;0")</f>
        <v>51</v>
      </c>
      <c r="M283" s="38">
        <f>SUMIFS(M$6:M$270,$E$6:$E$270,$E283,M$6:M$270,"&gt;0")</f>
        <v>2826</v>
      </c>
      <c r="N283" s="68"/>
    </row>
    <row r="284" spans="1:20" x14ac:dyDescent="0.25">
      <c r="A284" s="6"/>
      <c r="B284" s="7"/>
      <c r="D284" s="89">
        <f>COUNTIF($E$8:$E$269,E284)</f>
        <v>24</v>
      </c>
      <c r="E284" s="73" t="s">
        <v>15</v>
      </c>
      <c r="F284" s="3"/>
      <c r="G284" s="3"/>
      <c r="H284" s="3"/>
      <c r="I284" s="3">
        <f>SUMIFS(I$6:I$270,$E$6:$E$270,$E284,I$6:I$270,"&gt;0")</f>
        <v>7464</v>
      </c>
      <c r="J284" s="70">
        <f>SUMIFS(J$6:J$270,$E$6:$E$270,$E284,J$6:J$270,"&gt;0")</f>
        <v>7869</v>
      </c>
      <c r="K284" s="3">
        <f>SUMIFS(K$6:K$270,$E$6:$E$270,$E284,K$6:K$270,"&gt;0")</f>
        <v>173</v>
      </c>
      <c r="L284" s="3">
        <f>SUMIFS(L$6:L$270,$E$6:$E$270,$E284,L$6:L$270,"&gt;0")</f>
        <v>188</v>
      </c>
      <c r="M284" s="38">
        <f>SUMIFS(M$6:M$270,$E$6:$E$270,$E284,M$6:M$270,"&gt;0")</f>
        <v>8230</v>
      </c>
      <c r="N284" s="68"/>
    </row>
    <row r="285" spans="1:20" ht="15.75" thickBot="1" x14ac:dyDescent="0.3">
      <c r="A285" s="6"/>
      <c r="B285" s="7"/>
      <c r="C285" s="5"/>
      <c r="D285" s="90">
        <f>COUNTIF($E$8:$E$269,E285)</f>
        <v>13</v>
      </c>
      <c r="E285" s="91" t="s">
        <v>16</v>
      </c>
      <c r="F285" s="32"/>
      <c r="G285" s="32"/>
      <c r="H285" s="32"/>
      <c r="I285" s="32">
        <f>SUMIFS(I$6:I$270,$E$6:$E$270,$E285,I$6:I$270,"&gt;0")</f>
        <v>12044</v>
      </c>
      <c r="J285" s="77">
        <f>SUMIFS(J$6:J$270,$E$6:$E$270,$E285,J$6:J$270,"&gt;0")</f>
        <v>13988</v>
      </c>
      <c r="K285" s="32">
        <f>SUMIFS(K$6:K$270,$E$6:$E$270,$E285,K$6:K$270,"&gt;0")</f>
        <v>234</v>
      </c>
      <c r="L285" s="32">
        <f>SUMIFS(L$6:L$270,$E$6:$E$270,$E285,L$6:L$270,"&gt;0")</f>
        <v>327</v>
      </c>
      <c r="M285" s="52">
        <f>SUMIFS(M$6:M$270,$E$6:$E$270,$E285,M$6:M$270,"&gt;0")</f>
        <v>14549</v>
      </c>
      <c r="N285" s="68"/>
    </row>
    <row r="286" spans="1:20" ht="15.75" thickBot="1" x14ac:dyDescent="0.3">
      <c r="A286" s="6"/>
      <c r="B286" s="7"/>
      <c r="C286" s="7"/>
      <c r="D286" s="84"/>
      <c r="E286" s="74" t="s">
        <v>3</v>
      </c>
      <c r="F286" s="72"/>
      <c r="G286" s="72"/>
      <c r="H286" s="72"/>
      <c r="I286" s="72">
        <f>SUM(I274:I285)</f>
        <v>887330</v>
      </c>
      <c r="J286" s="71">
        <f>SUM(J274:J285)</f>
        <v>965610</v>
      </c>
      <c r="K286" s="72">
        <f>SUM(K274:K285)</f>
        <v>53875</v>
      </c>
      <c r="L286" s="72">
        <f>SUM(L274:L285)</f>
        <v>171817</v>
      </c>
      <c r="M286" s="88">
        <f>SUM(M274:M285)</f>
        <v>1191302</v>
      </c>
      <c r="N286" s="68"/>
    </row>
    <row r="287" spans="1:20" ht="15.75" thickBot="1" x14ac:dyDescent="0.3">
      <c r="B287" s="6" t="s">
        <v>667</v>
      </c>
      <c r="C287" s="7"/>
      <c r="E287" s="7"/>
      <c r="F287" s="22"/>
      <c r="G287" s="22"/>
      <c r="H287" s="22"/>
      <c r="I287" s="22"/>
      <c r="J287" s="22"/>
      <c r="K287" s="22"/>
      <c r="L287" s="22"/>
      <c r="M287" s="22"/>
      <c r="N287" s="68"/>
    </row>
    <row r="288" spans="1:20" ht="28.9" customHeight="1" thickBot="1" x14ac:dyDescent="0.3">
      <c r="B288" s="7"/>
      <c r="D288" s="36"/>
      <c r="E288" s="18"/>
      <c r="F288" s="96" t="s">
        <v>0</v>
      </c>
      <c r="G288" s="97"/>
      <c r="H288" s="97"/>
      <c r="I288" s="98"/>
      <c r="J288" s="99" t="s">
        <v>691</v>
      </c>
      <c r="K288" s="100"/>
      <c r="L288" s="100"/>
      <c r="M288" s="101"/>
      <c r="N288" s="66"/>
    </row>
    <row r="289" spans="1:13" ht="15.75" thickBot="1" x14ac:dyDescent="0.3">
      <c r="A289" s="2"/>
      <c r="C289" s="8"/>
      <c r="D289" s="84" t="s">
        <v>40</v>
      </c>
      <c r="E289" s="86"/>
      <c r="F289" s="62" t="s">
        <v>42</v>
      </c>
      <c r="G289" s="63" t="s">
        <v>43</v>
      </c>
      <c r="H289" s="63" t="s">
        <v>44</v>
      </c>
      <c r="I289" s="64" t="s">
        <v>45</v>
      </c>
      <c r="J289" s="62" t="s">
        <v>42</v>
      </c>
      <c r="K289" s="63" t="s">
        <v>43</v>
      </c>
      <c r="L289" s="63" t="s">
        <v>44</v>
      </c>
      <c r="M289" s="64" t="s">
        <v>45</v>
      </c>
    </row>
    <row r="290" spans="1:13" x14ac:dyDescent="0.25">
      <c r="A290" s="2"/>
      <c r="D290" s="37" t="s">
        <v>668</v>
      </c>
      <c r="F290" s="70"/>
      <c r="G290" s="3"/>
      <c r="H290" s="3"/>
      <c r="I290" s="38">
        <f>SUM(I274:I281)</f>
        <v>864719</v>
      </c>
      <c r="J290" s="70">
        <f>SUM(J274:J281)</f>
        <v>940525</v>
      </c>
      <c r="K290" s="3">
        <f>SUM(K274:K281)</f>
        <v>53292</v>
      </c>
      <c r="L290" s="3">
        <f>SUM(L274:L281)</f>
        <v>171244</v>
      </c>
      <c r="M290" s="38">
        <f>SUM(M274:M281)</f>
        <v>1165061</v>
      </c>
    </row>
    <row r="291" spans="1:13" x14ac:dyDescent="0.25">
      <c r="A291" s="2"/>
      <c r="D291" s="37" t="s">
        <v>451</v>
      </c>
      <c r="F291" s="70"/>
      <c r="G291" s="3"/>
      <c r="H291" s="3"/>
      <c r="I291" s="38">
        <f>SUMIF($D$6:$D$232,$D291,I$6:I$232)</f>
        <v>633</v>
      </c>
      <c r="J291" s="70">
        <f>SUMIFS(J$6:J$232,$D$6:$D$232,$D291,J$6:J$232,"&gt;0")</f>
        <v>619</v>
      </c>
      <c r="K291" s="3">
        <f>SUMIFS(K$6:K$232,$D$6:$D$232,$D291,K$6:K$232,"&gt;0")</f>
        <v>10</v>
      </c>
      <c r="L291" s="3">
        <f>SUMIFS(L$6:L$232,$D$6:$D$232,$D291,L$6:L$232,"&gt;0")</f>
        <v>7</v>
      </c>
      <c r="M291" s="38">
        <f>SUMIFS(M$6:M$232,$D$6:$D$232,$D291,M$6:M$232,"&gt;0")</f>
        <v>636</v>
      </c>
    </row>
    <row r="292" spans="1:13" x14ac:dyDescent="0.25">
      <c r="A292" s="2"/>
      <c r="D292" s="37" t="s">
        <v>494</v>
      </c>
      <c r="F292" s="70"/>
      <c r="G292" s="3"/>
      <c r="H292" s="3"/>
      <c r="I292" s="38">
        <f>SUMIF($D$6:$D$232,$D292,I$6:I$232)</f>
        <v>2470</v>
      </c>
      <c r="J292" s="70">
        <f>SUMIFS(J$6:J$269,$D$6:$D$269,$D292,J$6:J$269,"&gt;0")</f>
        <v>2609</v>
      </c>
      <c r="K292" s="3">
        <f>SUMIFS(K$6:K$269,$D$6:$D$269,$D292,K$6:K$269,"&gt;0")</f>
        <v>166</v>
      </c>
      <c r="L292" s="3">
        <f>SUMIFS(L$6:L$269,$D$6:$D$269,$D292,L$6:L$269,"&gt;0")</f>
        <v>51</v>
      </c>
      <c r="M292" s="38">
        <f>SUMIFS(M$6:M$269,$D$6:$D$269,$D292,M$6:M$269,"&gt;0")</f>
        <v>2826</v>
      </c>
    </row>
    <row r="293" spans="1:13" x14ac:dyDescent="0.25">
      <c r="A293" s="2"/>
      <c r="D293" s="37" t="s">
        <v>543</v>
      </c>
      <c r="F293" s="70"/>
      <c r="G293" s="3"/>
      <c r="H293" s="3"/>
      <c r="I293" s="38">
        <f>SUMIF($D$6:$D$269,$D293,I$6:I$269)</f>
        <v>7464</v>
      </c>
      <c r="J293" s="70">
        <f>SUMIFS(J$6:J$269,$D$6:$D$269,$D293,J$6:J$269,"&gt;0")</f>
        <v>7869</v>
      </c>
      <c r="K293" s="3">
        <f>SUMIFS(K$6:K$269,$D$6:$D$269,$D293,K$6:K$269,"&gt;0")</f>
        <v>173</v>
      </c>
      <c r="L293" s="3">
        <f>SUMIFS(L$6:L$269,$D$6:$D$269,$D293,L$6:L$269,"&gt;0")</f>
        <v>188</v>
      </c>
      <c r="M293" s="38">
        <f>SUMIFS(M$6:M$269,$D$6:$D$269,$D293,M$6:M$269,"&gt;0")</f>
        <v>8230</v>
      </c>
    </row>
    <row r="294" spans="1:13" x14ac:dyDescent="0.25">
      <c r="A294" s="2"/>
      <c r="D294" s="37" t="s">
        <v>631</v>
      </c>
      <c r="F294" s="70"/>
      <c r="G294" s="3"/>
      <c r="H294" s="3"/>
      <c r="I294" s="38">
        <f>SUMIF($D$6:$D$269,$D294,I$6:I$269)</f>
        <v>12044</v>
      </c>
      <c r="J294" s="70">
        <f>SUMIFS(J$6:J$269,$D$6:$D$269,$D294,J$6:J$269,"&gt;0")</f>
        <v>13988</v>
      </c>
      <c r="K294" s="3">
        <f>SUMIFS(K$6:K$269,$D$6:$D$269,$D294,K$6:K$269,"&gt;0")</f>
        <v>234</v>
      </c>
      <c r="L294" s="3">
        <f>SUMIFS(L$6:L$269,$D$6:$D$269,$D294,L$6:L$269,"&gt;0")</f>
        <v>327</v>
      </c>
      <c r="M294" s="38">
        <f>SUMIFS(M$6:M$269,$D$6:$D$269,$D294,M$6:M$269,"&gt;0")</f>
        <v>14549</v>
      </c>
    </row>
    <row r="295" spans="1:13" x14ac:dyDescent="0.25">
      <c r="A295" s="2"/>
      <c r="D295" s="37"/>
      <c r="F295" s="70"/>
      <c r="G295" s="3"/>
      <c r="H295" s="3"/>
      <c r="I295" s="38"/>
      <c r="J295" s="70"/>
      <c r="K295" s="3"/>
      <c r="L295" s="3"/>
      <c r="M295" s="38"/>
    </row>
    <row r="296" spans="1:13" x14ac:dyDescent="0.25">
      <c r="A296" s="2"/>
      <c r="D296" s="37"/>
      <c r="F296" s="70"/>
      <c r="G296" s="3"/>
      <c r="H296" s="3"/>
      <c r="I296" s="38"/>
      <c r="J296" s="70"/>
      <c r="K296" s="3"/>
      <c r="L296" s="3"/>
      <c r="M296" s="38"/>
    </row>
    <row r="297" spans="1:13" ht="15.75" thickBot="1" x14ac:dyDescent="0.3">
      <c r="A297" s="6"/>
      <c r="B297" s="7"/>
      <c r="C297" s="5"/>
      <c r="D297" s="41"/>
      <c r="E297" s="13"/>
      <c r="F297" s="77"/>
      <c r="G297" s="32"/>
      <c r="H297" s="32"/>
      <c r="I297" s="52"/>
      <c r="J297" s="77"/>
      <c r="K297" s="32"/>
      <c r="L297" s="32"/>
      <c r="M297" s="52"/>
    </row>
    <row r="298" spans="1:13" ht="15.75" thickBot="1" x14ac:dyDescent="0.3">
      <c r="A298" s="6"/>
      <c r="B298" s="7"/>
      <c r="C298" s="7"/>
      <c r="D298" s="84"/>
      <c r="E298" s="85" t="s">
        <v>3</v>
      </c>
      <c r="F298" s="71"/>
      <c r="G298" s="72"/>
      <c r="H298" s="72"/>
      <c r="I298" s="88">
        <f>SUM(I290:I297)</f>
        <v>887330</v>
      </c>
      <c r="J298" s="71">
        <f>SUM(J290:J297)</f>
        <v>965610</v>
      </c>
      <c r="K298" s="72">
        <f>SUM(K290:K297)</f>
        <v>53875</v>
      </c>
      <c r="L298" s="72">
        <f>SUM(L290:L297)</f>
        <v>171817</v>
      </c>
      <c r="M298" s="88">
        <f>SUM(M290:M297)</f>
        <v>1191302</v>
      </c>
    </row>
    <row r="299" spans="1:13" ht="12.75" customHeight="1" x14ac:dyDescent="0.25">
      <c r="E299" s="7"/>
      <c r="F299" s="22"/>
      <c r="G299" s="22"/>
      <c r="H299" s="22"/>
      <c r="I299" s="22"/>
      <c r="J299" s="22"/>
      <c r="K299" s="22"/>
      <c r="L299" s="22"/>
      <c r="M299" s="22"/>
    </row>
  </sheetData>
  <mergeCells count="6">
    <mergeCell ref="F5:I5"/>
    <mergeCell ref="J5:M5"/>
    <mergeCell ref="F288:I288"/>
    <mergeCell ref="J288:M288"/>
    <mergeCell ref="F272:I272"/>
    <mergeCell ref="J272:M272"/>
  </mergeCells>
  <pageMargins left="0.45" right="0.2" top="0.5" bottom="0.25" header="0.3" footer="0.3"/>
  <pageSetup scale="44" fitToHeight="3" orientation="portrait" r:id="rId1"/>
  <rowBreaks count="1" manualBreakCount="1">
    <brk id="113" min="4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8276-A1A0-4C00-9E48-1E9579B8889E}">
  <sheetPr codeName="Sheet132">
    <tabColor rgb="FF92D050"/>
  </sheetPr>
  <dimension ref="A2:Z299"/>
  <sheetViews>
    <sheetView zoomScale="115" zoomScaleNormal="115" zoomScaleSheetLayoutView="115" workbookViewId="0">
      <pane ySplit="7" topLeftCell="A82" activePane="bottomLeft" state="frozen"/>
      <selection activeCell="E4" sqref="E4:F4"/>
      <selection pane="bottomLeft" activeCell="E92" sqref="E92"/>
    </sheetView>
  </sheetViews>
  <sheetFormatPr defaultColWidth="9.140625" defaultRowHeight="15" x14ac:dyDescent="0.25"/>
  <cols>
    <col min="1" max="1" width="15.42578125" customWidth="1"/>
    <col min="2" max="2" width="38.28515625" customWidth="1"/>
    <col min="3" max="3" width="12.85546875" customWidth="1"/>
    <col min="4" max="4" width="19.85546875" bestFit="1" customWidth="1"/>
    <col min="5" max="5" width="19.5703125" bestFit="1" customWidth="1"/>
    <col min="6" max="6" width="12.28515625" customWidth="1"/>
    <col min="7" max="8" width="10.5703125" customWidth="1"/>
    <col min="9" max="9" width="12.28515625" bestFit="1" customWidth="1"/>
    <col min="10" max="10" width="12.28515625" customWidth="1"/>
    <col min="11" max="12" width="10.5703125" customWidth="1"/>
    <col min="13" max="13" width="12.140625" bestFit="1" customWidth="1"/>
    <col min="14" max="14" width="12.42578125" hidden="1" customWidth="1"/>
    <col min="15" max="16" width="10.5703125" hidden="1" customWidth="1"/>
    <col min="17" max="17" width="10.5703125" customWidth="1"/>
    <col min="18" max="18" width="9" bestFit="1" customWidth="1"/>
    <col min="19" max="19" width="12.85546875" style="65" bestFit="1" customWidth="1"/>
    <col min="20" max="20" width="28.42578125" hidden="1" customWidth="1"/>
    <col min="21" max="21" width="77.7109375" hidden="1" customWidth="1"/>
    <col min="22" max="22" width="9.140625" hidden="1" customWidth="1"/>
    <col min="23" max="23" width="9.85546875" hidden="1" customWidth="1"/>
    <col min="24" max="25" width="9.140625" hidden="1" customWidth="1"/>
  </cols>
  <sheetData>
    <row r="2" spans="1:25" ht="21" x14ac:dyDescent="0.35">
      <c r="A2" s="10" t="s">
        <v>30</v>
      </c>
      <c r="L2" s="4" t="s">
        <v>31</v>
      </c>
    </row>
    <row r="3" spans="1:25" x14ac:dyDescent="0.25">
      <c r="A3" s="2"/>
      <c r="L3" s="4"/>
    </row>
    <row r="4" spans="1:25" ht="15.75" thickBot="1" x14ac:dyDescent="0.3">
      <c r="A4" s="2"/>
      <c r="J4" s="95">
        <v>8</v>
      </c>
      <c r="K4" s="95">
        <v>9</v>
      </c>
      <c r="L4" s="95">
        <v>10</v>
      </c>
    </row>
    <row r="5" spans="1:25" ht="27" customHeight="1" thickBot="1" x14ac:dyDescent="0.3">
      <c r="A5" s="17"/>
      <c r="B5" s="18"/>
      <c r="C5" s="27"/>
      <c r="D5" s="27"/>
      <c r="E5" s="27"/>
      <c r="F5" s="96" t="s">
        <v>0</v>
      </c>
      <c r="G5" s="97"/>
      <c r="H5" s="97"/>
      <c r="I5" s="98"/>
      <c r="J5" s="99" t="s">
        <v>691</v>
      </c>
      <c r="K5" s="100"/>
      <c r="L5" s="100"/>
      <c r="M5" s="101"/>
      <c r="N5" s="96" t="s">
        <v>1</v>
      </c>
      <c r="O5" s="97"/>
      <c r="P5" s="97"/>
      <c r="Q5" s="98"/>
      <c r="R5" s="16" t="s">
        <v>32</v>
      </c>
      <c r="S5" s="66"/>
      <c r="T5" t="s">
        <v>33</v>
      </c>
      <c r="U5" t="s">
        <v>34</v>
      </c>
      <c r="V5" t="s">
        <v>35</v>
      </c>
      <c r="W5" t="s">
        <v>36</v>
      </c>
      <c r="X5" t="s">
        <v>670</v>
      </c>
      <c r="Y5" t="s">
        <v>41</v>
      </c>
    </row>
    <row r="6" spans="1:25" x14ac:dyDescent="0.25">
      <c r="A6" s="19" t="s">
        <v>37</v>
      </c>
      <c r="B6" s="7" t="s">
        <v>38</v>
      </c>
      <c r="C6" s="28" t="s">
        <v>39</v>
      </c>
      <c r="D6" s="28" t="s">
        <v>40</v>
      </c>
      <c r="E6" s="28" t="s">
        <v>41</v>
      </c>
      <c r="F6" s="92" t="s">
        <v>42</v>
      </c>
      <c r="G6" s="16" t="s">
        <v>43</v>
      </c>
      <c r="H6" s="16" t="s">
        <v>44</v>
      </c>
      <c r="I6" s="20" t="s">
        <v>45</v>
      </c>
      <c r="J6" s="92" t="s">
        <v>42</v>
      </c>
      <c r="K6" s="16" t="s">
        <v>43</v>
      </c>
      <c r="L6" s="16" t="s">
        <v>44</v>
      </c>
      <c r="M6" s="20" t="s">
        <v>45</v>
      </c>
      <c r="N6" s="92" t="s">
        <v>42</v>
      </c>
      <c r="O6" s="16" t="s">
        <v>43</v>
      </c>
      <c r="P6" s="16" t="s">
        <v>44</v>
      </c>
      <c r="Q6" s="20" t="s">
        <v>45</v>
      </c>
      <c r="R6" s="16" t="s">
        <v>46</v>
      </c>
      <c r="S6" s="66"/>
      <c r="T6" t="s">
        <v>47</v>
      </c>
      <c r="U6" t="s">
        <v>48</v>
      </c>
      <c r="V6">
        <v>1</v>
      </c>
      <c r="W6">
        <v>133995</v>
      </c>
      <c r="X6" t="s">
        <v>51</v>
      </c>
      <c r="Y6" t="s">
        <v>6</v>
      </c>
    </row>
    <row r="7" spans="1:25" ht="22.5" customHeight="1" thickBot="1" x14ac:dyDescent="0.3">
      <c r="A7" s="12"/>
      <c r="B7" s="13"/>
      <c r="C7" s="29"/>
      <c r="D7" s="29"/>
      <c r="E7" s="29"/>
      <c r="F7" s="41"/>
      <c r="G7" s="13"/>
      <c r="H7" s="13"/>
      <c r="I7" s="23"/>
      <c r="J7" s="41"/>
      <c r="K7" s="13"/>
      <c r="L7" s="13"/>
      <c r="M7" s="23"/>
      <c r="N7" s="41"/>
      <c r="O7" s="13"/>
      <c r="P7" s="13"/>
      <c r="Q7" s="23"/>
      <c r="S7" s="67"/>
      <c r="T7" t="s">
        <v>49</v>
      </c>
      <c r="U7" t="s">
        <v>50</v>
      </c>
      <c r="V7">
        <v>2</v>
      </c>
      <c r="W7">
        <v>4523</v>
      </c>
      <c r="X7" t="s">
        <v>63</v>
      </c>
      <c r="Y7" t="s">
        <v>671</v>
      </c>
    </row>
    <row r="8" spans="1:25" x14ac:dyDescent="0.25">
      <c r="A8" s="37" t="s">
        <v>47</v>
      </c>
      <c r="B8" t="s">
        <v>48</v>
      </c>
      <c r="C8" t="s">
        <v>51</v>
      </c>
      <c r="D8" t="s">
        <v>52</v>
      </c>
      <c r="E8" t="s">
        <v>6</v>
      </c>
      <c r="F8" s="70"/>
      <c r="G8" s="3"/>
      <c r="H8" s="3"/>
      <c r="I8" s="38">
        <f>VLOOKUP(A8,$T$5:$W$279,4,0)</f>
        <v>133995</v>
      </c>
      <c r="J8" s="70">
        <v>125200</v>
      </c>
      <c r="K8" s="3">
        <v>9603</v>
      </c>
      <c r="L8" s="3">
        <v>21472</v>
      </c>
      <c r="M8" s="38">
        <f>SUM(J8:L8)</f>
        <v>156275</v>
      </c>
      <c r="N8" s="70"/>
      <c r="O8" s="3"/>
      <c r="P8" s="3"/>
      <c r="Q8" s="38">
        <f t="shared" ref="Q8" si="0">M8-I8</f>
        <v>22280</v>
      </c>
      <c r="R8" s="39">
        <f>Q8/I8</f>
        <v>0.1662748610022762</v>
      </c>
      <c r="S8" s="67"/>
      <c r="T8" t="s">
        <v>53</v>
      </c>
      <c r="U8" t="s">
        <v>54</v>
      </c>
      <c r="V8">
        <v>3</v>
      </c>
      <c r="W8">
        <v>115769</v>
      </c>
      <c r="X8" t="s">
        <v>55</v>
      </c>
      <c r="Y8" t="s">
        <v>6</v>
      </c>
    </row>
    <row r="9" spans="1:25" x14ac:dyDescent="0.25">
      <c r="A9" s="37" t="s">
        <v>53</v>
      </c>
      <c r="B9" t="s">
        <v>54</v>
      </c>
      <c r="C9" t="s">
        <v>55</v>
      </c>
      <c r="D9" t="s">
        <v>52</v>
      </c>
      <c r="E9" t="s">
        <v>6</v>
      </c>
      <c r="F9" s="70"/>
      <c r="G9" s="3"/>
      <c r="H9" s="3"/>
      <c r="I9" s="38">
        <f t="shared" ref="I9:I62" si="1">VLOOKUP(A9,$T$5:$W$279,4,0)</f>
        <v>115769</v>
      </c>
      <c r="J9" s="70">
        <v>112697</v>
      </c>
      <c r="K9" s="3">
        <v>10130</v>
      </c>
      <c r="L9" s="3">
        <v>23095</v>
      </c>
      <c r="M9" s="38">
        <f>SUM(J9:L9)</f>
        <v>145922</v>
      </c>
      <c r="N9" s="70"/>
      <c r="O9" s="3"/>
      <c r="P9" s="3"/>
      <c r="Q9" s="38">
        <f t="shared" ref="Q9:Q10" si="2">M9-I9</f>
        <v>30153</v>
      </c>
      <c r="R9" s="39">
        <f>Q9/I9</f>
        <v>0.260458326495003</v>
      </c>
      <c r="S9" s="67"/>
      <c r="T9" t="s">
        <v>56</v>
      </c>
      <c r="U9" t="s">
        <v>57</v>
      </c>
      <c r="V9">
        <v>4</v>
      </c>
      <c r="W9">
        <v>113376</v>
      </c>
      <c r="X9" t="s">
        <v>67</v>
      </c>
      <c r="Y9" t="s">
        <v>7</v>
      </c>
    </row>
    <row r="10" spans="1:25" ht="15.75" thickBot="1" x14ac:dyDescent="0.3">
      <c r="A10" s="37" t="s">
        <v>58</v>
      </c>
      <c r="B10" t="s">
        <v>59</v>
      </c>
      <c r="C10" t="s">
        <v>60</v>
      </c>
      <c r="D10" t="s">
        <v>52</v>
      </c>
      <c r="E10" t="s">
        <v>6</v>
      </c>
      <c r="F10" s="70"/>
      <c r="G10" s="3"/>
      <c r="H10" s="3"/>
      <c r="I10" s="38">
        <f t="shared" si="1"/>
        <v>47213</v>
      </c>
      <c r="J10" s="70">
        <v>55348</v>
      </c>
      <c r="K10" s="3">
        <v>3487</v>
      </c>
      <c r="L10" s="3">
        <v>9307</v>
      </c>
      <c r="M10" s="38">
        <f>SUM(J10:L10)</f>
        <v>68142</v>
      </c>
      <c r="N10" s="70"/>
      <c r="O10" s="3"/>
      <c r="P10" s="3"/>
      <c r="Q10" s="38">
        <f t="shared" si="2"/>
        <v>20929</v>
      </c>
      <c r="R10" s="39">
        <f>Q10/I10</f>
        <v>0.44328892466058079</v>
      </c>
      <c r="S10" s="67"/>
      <c r="T10" t="s">
        <v>61</v>
      </c>
      <c r="U10" t="s">
        <v>62</v>
      </c>
      <c r="V10">
        <v>4</v>
      </c>
      <c r="W10">
        <v>0</v>
      </c>
      <c r="X10" t="s">
        <v>70</v>
      </c>
      <c r="Y10" t="s">
        <v>7</v>
      </c>
    </row>
    <row r="11" spans="1:25" x14ac:dyDescent="0.25">
      <c r="A11" s="53" t="s">
        <v>49</v>
      </c>
      <c r="B11" s="54" t="s">
        <v>50</v>
      </c>
      <c r="C11" s="54" t="s">
        <v>63</v>
      </c>
      <c r="D11" s="54" t="s">
        <v>64</v>
      </c>
      <c r="E11" s="54" t="s">
        <v>7</v>
      </c>
      <c r="F11" s="78"/>
      <c r="G11" s="55"/>
      <c r="H11" s="55"/>
      <c r="I11" s="56">
        <f t="shared" si="1"/>
        <v>4523</v>
      </c>
      <c r="J11" s="78">
        <v>3957</v>
      </c>
      <c r="K11" s="55">
        <v>337</v>
      </c>
      <c r="L11" s="55">
        <v>1141</v>
      </c>
      <c r="M11" s="56">
        <f t="shared" ref="M11:M87" si="3">SUM(J11:L11)</f>
        <v>5435</v>
      </c>
      <c r="N11" s="78"/>
      <c r="O11" s="55"/>
      <c r="P11" s="55"/>
      <c r="Q11" s="56">
        <f t="shared" ref="Q11:Q89" si="4">M11-I11</f>
        <v>912</v>
      </c>
      <c r="R11" s="39">
        <f t="shared" ref="R11:R89" si="5">Q11/I11</f>
        <v>0.2016360822462967</v>
      </c>
      <c r="S11" s="67"/>
      <c r="T11" t="s">
        <v>65</v>
      </c>
      <c r="U11" t="s">
        <v>66</v>
      </c>
      <c r="V11">
        <v>4</v>
      </c>
      <c r="W11">
        <v>0</v>
      </c>
      <c r="X11" t="s">
        <v>71</v>
      </c>
      <c r="Y11" t="s">
        <v>7</v>
      </c>
    </row>
    <row r="12" spans="1:25" x14ac:dyDescent="0.25">
      <c r="A12" s="42" t="s">
        <v>56</v>
      </c>
      <c r="B12" s="43" t="s">
        <v>57</v>
      </c>
      <c r="C12" s="43" t="s">
        <v>67</v>
      </c>
      <c r="D12" s="43" t="s">
        <v>64</v>
      </c>
      <c r="E12" s="43" t="s">
        <v>7</v>
      </c>
      <c r="F12" s="79"/>
      <c r="G12" s="80"/>
      <c r="H12" s="80"/>
      <c r="I12" s="44">
        <f t="shared" si="1"/>
        <v>113376</v>
      </c>
      <c r="J12" s="79">
        <v>40261</v>
      </c>
      <c r="K12" s="80">
        <v>1852</v>
      </c>
      <c r="L12" s="80">
        <v>2401</v>
      </c>
      <c r="M12" s="44">
        <f t="shared" si="3"/>
        <v>44514</v>
      </c>
      <c r="N12" s="79"/>
      <c r="O12" s="80"/>
      <c r="P12" s="80"/>
      <c r="Q12" s="44">
        <f>SUM(M12:M15)-I12</f>
        <v>21789</v>
      </c>
      <c r="R12" s="39">
        <f t="shared" si="5"/>
        <v>0.19218353090601187</v>
      </c>
      <c r="S12" s="67"/>
      <c r="T12" t="s">
        <v>68</v>
      </c>
      <c r="U12" t="s">
        <v>69</v>
      </c>
      <c r="V12">
        <v>4</v>
      </c>
      <c r="W12">
        <v>0</v>
      </c>
      <c r="X12" t="s">
        <v>74</v>
      </c>
      <c r="Y12" t="s">
        <v>7</v>
      </c>
    </row>
    <row r="13" spans="1:25" x14ac:dyDescent="0.25">
      <c r="A13" s="42" t="s">
        <v>61</v>
      </c>
      <c r="B13" s="43" t="s">
        <v>62</v>
      </c>
      <c r="C13" s="43" t="s">
        <v>70</v>
      </c>
      <c r="D13" s="43" t="s">
        <v>64</v>
      </c>
      <c r="E13" s="43" t="s">
        <v>7</v>
      </c>
      <c r="F13" s="79"/>
      <c r="G13" s="80"/>
      <c r="H13" s="80"/>
      <c r="I13" s="44">
        <f t="shared" si="1"/>
        <v>0</v>
      </c>
      <c r="J13" s="79">
        <v>19541</v>
      </c>
      <c r="K13" s="80">
        <v>1057</v>
      </c>
      <c r="L13" s="80">
        <v>1502</v>
      </c>
      <c r="M13" s="44">
        <f t="shared" si="3"/>
        <v>22100</v>
      </c>
      <c r="N13" s="79"/>
      <c r="O13" s="80"/>
      <c r="P13" s="80"/>
      <c r="Q13" s="44"/>
      <c r="R13" s="39"/>
      <c r="S13" s="67"/>
      <c r="T13" t="s">
        <v>58</v>
      </c>
      <c r="U13" t="s">
        <v>59</v>
      </c>
      <c r="V13">
        <v>8</v>
      </c>
      <c r="W13">
        <v>47213</v>
      </c>
      <c r="X13" t="s">
        <v>60</v>
      </c>
      <c r="Y13" t="s">
        <v>6</v>
      </c>
    </row>
    <row r="14" spans="1:25" x14ac:dyDescent="0.25">
      <c r="A14" s="42" t="s">
        <v>65</v>
      </c>
      <c r="B14" s="43" t="s">
        <v>66</v>
      </c>
      <c r="C14" s="43" t="s">
        <v>71</v>
      </c>
      <c r="D14" s="43" t="s">
        <v>64</v>
      </c>
      <c r="E14" s="43" t="s">
        <v>7</v>
      </c>
      <c r="F14" s="79"/>
      <c r="G14" s="80"/>
      <c r="H14" s="80"/>
      <c r="I14" s="44">
        <f t="shared" si="1"/>
        <v>0</v>
      </c>
      <c r="J14" s="79">
        <v>27763</v>
      </c>
      <c r="K14" s="80">
        <v>2150</v>
      </c>
      <c r="L14" s="80">
        <v>4532</v>
      </c>
      <c r="M14" s="44">
        <f t="shared" si="3"/>
        <v>34445</v>
      </c>
      <c r="N14" s="79"/>
      <c r="O14" s="80"/>
      <c r="P14" s="80"/>
      <c r="Q14" s="44"/>
      <c r="R14" s="39"/>
      <c r="S14" s="67"/>
      <c r="T14" t="s">
        <v>72</v>
      </c>
      <c r="U14" t="s">
        <v>73</v>
      </c>
      <c r="V14">
        <v>9</v>
      </c>
      <c r="W14">
        <v>6310</v>
      </c>
      <c r="X14">
        <v>741</v>
      </c>
      <c r="Y14" t="s">
        <v>672</v>
      </c>
    </row>
    <row r="15" spans="1:25" ht="15.75" thickBot="1" x14ac:dyDescent="0.3">
      <c r="A15" s="57" t="s">
        <v>68</v>
      </c>
      <c r="B15" s="58" t="s">
        <v>69</v>
      </c>
      <c r="C15" s="58" t="s">
        <v>74</v>
      </c>
      <c r="D15" s="58" t="s">
        <v>64</v>
      </c>
      <c r="E15" s="58" t="s">
        <v>7</v>
      </c>
      <c r="F15" s="81"/>
      <c r="G15" s="59"/>
      <c r="H15" s="59"/>
      <c r="I15" s="60">
        <f t="shared" si="1"/>
        <v>0</v>
      </c>
      <c r="J15" s="81">
        <v>28753</v>
      </c>
      <c r="K15" s="59">
        <v>1964</v>
      </c>
      <c r="L15" s="59">
        <v>3389</v>
      </c>
      <c r="M15" s="60">
        <f t="shared" si="3"/>
        <v>34106</v>
      </c>
      <c r="N15" s="81"/>
      <c r="O15" s="59"/>
      <c r="P15" s="59"/>
      <c r="Q15" s="60"/>
      <c r="R15" s="39"/>
      <c r="S15" s="67"/>
      <c r="T15" t="s">
        <v>75</v>
      </c>
      <c r="U15" t="s">
        <v>76</v>
      </c>
      <c r="V15">
        <v>10</v>
      </c>
      <c r="W15">
        <v>3501</v>
      </c>
      <c r="X15">
        <v>742</v>
      </c>
      <c r="Y15" t="s">
        <v>672</v>
      </c>
    </row>
    <row r="16" spans="1:25" x14ac:dyDescent="0.25">
      <c r="A16" s="36" t="s">
        <v>77</v>
      </c>
      <c r="B16" s="11" t="s">
        <v>78</v>
      </c>
      <c r="C16" s="11" t="s">
        <v>79</v>
      </c>
      <c r="D16" s="11" t="s">
        <v>80</v>
      </c>
      <c r="E16" s="11" t="s">
        <v>8</v>
      </c>
      <c r="F16" s="76"/>
      <c r="G16" s="50"/>
      <c r="H16" s="50"/>
      <c r="I16" s="51">
        <f t="shared" si="1"/>
        <v>5044</v>
      </c>
      <c r="J16" s="76">
        <v>10120</v>
      </c>
      <c r="K16" s="50">
        <v>1135</v>
      </c>
      <c r="L16" s="50">
        <v>706</v>
      </c>
      <c r="M16" s="51">
        <f t="shared" ref="M16:M29" si="6">SUM(J16:L16)</f>
        <v>11961</v>
      </c>
      <c r="N16" s="76"/>
      <c r="O16" s="50"/>
      <c r="P16" s="50"/>
      <c r="Q16" s="51">
        <f t="shared" ref="Q16:Q29" si="7">M16-I16</f>
        <v>6917</v>
      </c>
      <c r="R16" s="39">
        <f t="shared" ref="R16:R29" si="8">Q16/I16</f>
        <v>1.3713322759714512</v>
      </c>
      <c r="S16" s="67"/>
      <c r="T16" t="s">
        <v>81</v>
      </c>
      <c r="U16" t="s">
        <v>82</v>
      </c>
      <c r="V16">
        <v>11</v>
      </c>
      <c r="W16">
        <v>9569</v>
      </c>
      <c r="X16">
        <v>743</v>
      </c>
      <c r="Y16" t="s">
        <v>672</v>
      </c>
    </row>
    <row r="17" spans="1:25" x14ac:dyDescent="0.25">
      <c r="A17" s="37" t="s">
        <v>83</v>
      </c>
      <c r="B17" t="s">
        <v>84</v>
      </c>
      <c r="C17" t="s">
        <v>85</v>
      </c>
      <c r="D17" t="s">
        <v>80</v>
      </c>
      <c r="E17" t="s">
        <v>8</v>
      </c>
      <c r="F17" s="70"/>
      <c r="G17" s="3"/>
      <c r="H17" s="3"/>
      <c r="I17" s="38">
        <f t="shared" si="1"/>
        <v>7319</v>
      </c>
      <c r="J17" s="70">
        <v>7440</v>
      </c>
      <c r="K17" s="3">
        <v>2547</v>
      </c>
      <c r="L17" s="3">
        <v>12056</v>
      </c>
      <c r="M17" s="38">
        <f t="shared" si="6"/>
        <v>22043</v>
      </c>
      <c r="N17" s="70"/>
      <c r="O17" s="3"/>
      <c r="P17" s="3"/>
      <c r="Q17" s="38">
        <f t="shared" si="7"/>
        <v>14724</v>
      </c>
      <c r="R17" s="39">
        <f t="shared" si="8"/>
        <v>2.0117502391037028</v>
      </c>
      <c r="S17" s="67"/>
      <c r="T17" t="s">
        <v>86</v>
      </c>
      <c r="U17" t="s">
        <v>87</v>
      </c>
      <c r="V17">
        <v>12</v>
      </c>
      <c r="W17">
        <v>4618</v>
      </c>
      <c r="X17">
        <v>751</v>
      </c>
      <c r="Y17" t="s">
        <v>672</v>
      </c>
    </row>
    <row r="18" spans="1:25" x14ac:dyDescent="0.25">
      <c r="A18" s="37" t="s">
        <v>88</v>
      </c>
      <c r="B18" t="s">
        <v>89</v>
      </c>
      <c r="C18" t="s">
        <v>90</v>
      </c>
      <c r="D18" t="s">
        <v>80</v>
      </c>
      <c r="E18" t="s">
        <v>8</v>
      </c>
      <c r="F18" s="70"/>
      <c r="G18" s="3"/>
      <c r="H18" s="3"/>
      <c r="I18" s="38">
        <f t="shared" si="1"/>
        <v>17120</v>
      </c>
      <c r="J18" s="70">
        <v>17731</v>
      </c>
      <c r="K18" s="3">
        <v>5160</v>
      </c>
      <c r="L18" s="3">
        <v>11116</v>
      </c>
      <c r="M18" s="38">
        <f t="shared" si="6"/>
        <v>34007</v>
      </c>
      <c r="N18" s="70"/>
      <c r="O18" s="3"/>
      <c r="P18" s="3"/>
      <c r="Q18" s="38">
        <f t="shared" si="7"/>
        <v>16887</v>
      </c>
      <c r="R18" s="39">
        <f t="shared" si="8"/>
        <v>0.98639018691588787</v>
      </c>
      <c r="S18" s="67"/>
      <c r="T18" t="s">
        <v>91</v>
      </c>
      <c r="U18" t="s">
        <v>92</v>
      </c>
      <c r="V18">
        <v>13</v>
      </c>
      <c r="W18">
        <v>8333</v>
      </c>
      <c r="X18">
        <v>749</v>
      </c>
      <c r="Y18" t="s">
        <v>672</v>
      </c>
    </row>
    <row r="19" spans="1:25" x14ac:dyDescent="0.25">
      <c r="A19" s="37" t="s">
        <v>93</v>
      </c>
      <c r="B19" t="s">
        <v>94</v>
      </c>
      <c r="C19" t="s">
        <v>95</v>
      </c>
      <c r="D19" t="s">
        <v>80</v>
      </c>
      <c r="E19" t="s">
        <v>8</v>
      </c>
      <c r="F19" s="70"/>
      <c r="G19" s="3"/>
      <c r="H19" s="3"/>
      <c r="I19" s="38">
        <f t="shared" si="1"/>
        <v>11914</v>
      </c>
      <c r="J19" s="70">
        <v>3883</v>
      </c>
      <c r="K19" s="3">
        <v>1063</v>
      </c>
      <c r="L19" s="3">
        <v>7663</v>
      </c>
      <c r="M19" s="38">
        <f t="shared" si="6"/>
        <v>12609</v>
      </c>
      <c r="N19" s="70"/>
      <c r="O19" s="3"/>
      <c r="P19" s="3"/>
      <c r="Q19" s="38">
        <f t="shared" si="7"/>
        <v>695</v>
      </c>
      <c r="R19" s="39">
        <f t="shared" si="8"/>
        <v>5.8334732247775724E-2</v>
      </c>
      <c r="S19" s="67"/>
      <c r="T19" t="s">
        <v>96</v>
      </c>
      <c r="U19" t="s">
        <v>97</v>
      </c>
      <c r="V19">
        <v>14</v>
      </c>
      <c r="W19">
        <v>905</v>
      </c>
      <c r="X19">
        <v>746</v>
      </c>
      <c r="Y19" t="s">
        <v>672</v>
      </c>
    </row>
    <row r="20" spans="1:25" x14ac:dyDescent="0.25">
      <c r="A20" s="37" t="s">
        <v>98</v>
      </c>
      <c r="B20" t="s">
        <v>99</v>
      </c>
      <c r="C20" t="s">
        <v>100</v>
      </c>
      <c r="D20" t="s">
        <v>80</v>
      </c>
      <c r="E20" t="s">
        <v>8</v>
      </c>
      <c r="F20" s="70"/>
      <c r="G20" s="3"/>
      <c r="H20" s="3"/>
      <c r="I20" s="38">
        <f t="shared" si="1"/>
        <v>4286</v>
      </c>
      <c r="J20" s="70">
        <v>1072</v>
      </c>
      <c r="K20" s="3">
        <v>258</v>
      </c>
      <c r="L20" s="3">
        <v>4965</v>
      </c>
      <c r="M20" s="38">
        <f t="shared" si="6"/>
        <v>6295</v>
      </c>
      <c r="N20" s="70"/>
      <c r="O20" s="3"/>
      <c r="P20" s="3"/>
      <c r="Q20" s="38">
        <f t="shared" si="7"/>
        <v>2009</v>
      </c>
      <c r="R20" s="39">
        <f t="shared" si="8"/>
        <v>0.46873541763882409</v>
      </c>
      <c r="S20" s="67"/>
      <c r="T20" t="s">
        <v>77</v>
      </c>
      <c r="U20" t="s">
        <v>78</v>
      </c>
      <c r="V20">
        <v>15</v>
      </c>
      <c r="W20">
        <v>5044</v>
      </c>
      <c r="X20" t="s">
        <v>79</v>
      </c>
      <c r="Y20" t="s">
        <v>8</v>
      </c>
    </row>
    <row r="21" spans="1:25" x14ac:dyDescent="0.25">
      <c r="A21" s="37" t="s">
        <v>101</v>
      </c>
      <c r="B21" t="s">
        <v>102</v>
      </c>
      <c r="C21" t="s">
        <v>103</v>
      </c>
      <c r="D21" t="s">
        <v>80</v>
      </c>
      <c r="E21" t="s">
        <v>8</v>
      </c>
      <c r="F21" s="70"/>
      <c r="G21" s="3"/>
      <c r="H21" s="3"/>
      <c r="I21" s="38">
        <f t="shared" si="1"/>
        <v>4418</v>
      </c>
      <c r="J21" s="70">
        <v>3787</v>
      </c>
      <c r="K21" s="3">
        <v>719</v>
      </c>
      <c r="L21" s="3">
        <v>7547</v>
      </c>
      <c r="M21" s="38">
        <f t="shared" si="6"/>
        <v>12053</v>
      </c>
      <c r="N21" s="70"/>
      <c r="O21" s="3"/>
      <c r="P21" s="3"/>
      <c r="Q21" s="38">
        <f t="shared" si="7"/>
        <v>7635</v>
      </c>
      <c r="R21" s="39">
        <f t="shared" si="8"/>
        <v>1.728157537347216</v>
      </c>
      <c r="S21" s="67"/>
      <c r="T21" t="s">
        <v>83</v>
      </c>
      <c r="U21" t="s">
        <v>84</v>
      </c>
      <c r="V21">
        <v>16</v>
      </c>
      <c r="W21">
        <v>7319</v>
      </c>
      <c r="X21" t="s">
        <v>85</v>
      </c>
      <c r="Y21" t="s">
        <v>8</v>
      </c>
    </row>
    <row r="22" spans="1:25" x14ac:dyDescent="0.25">
      <c r="A22" s="37" t="s">
        <v>104</v>
      </c>
      <c r="B22" t="s">
        <v>105</v>
      </c>
      <c r="C22" t="s">
        <v>106</v>
      </c>
      <c r="D22" t="s">
        <v>80</v>
      </c>
      <c r="E22" t="s">
        <v>8</v>
      </c>
      <c r="F22" s="70"/>
      <c r="G22" s="3"/>
      <c r="H22" s="3"/>
      <c r="I22" s="38">
        <f t="shared" si="1"/>
        <v>6084</v>
      </c>
      <c r="J22" s="70">
        <v>625</v>
      </c>
      <c r="K22" s="3">
        <v>450</v>
      </c>
      <c r="L22" s="3">
        <v>7066</v>
      </c>
      <c r="M22" s="38">
        <f t="shared" si="6"/>
        <v>8141</v>
      </c>
      <c r="N22" s="70"/>
      <c r="O22" s="3"/>
      <c r="P22" s="3"/>
      <c r="Q22" s="38">
        <f t="shared" si="7"/>
        <v>2057</v>
      </c>
      <c r="R22" s="39">
        <f t="shared" si="8"/>
        <v>0.33809993425378043</v>
      </c>
      <c r="S22" s="67"/>
      <c r="T22" t="s">
        <v>88</v>
      </c>
      <c r="U22" t="s">
        <v>89</v>
      </c>
      <c r="V22">
        <v>17</v>
      </c>
      <c r="W22">
        <v>17120</v>
      </c>
      <c r="X22" t="s">
        <v>90</v>
      </c>
      <c r="Y22" t="s">
        <v>8</v>
      </c>
    </row>
    <row r="23" spans="1:25" x14ac:dyDescent="0.25">
      <c r="A23" s="37" t="s">
        <v>107</v>
      </c>
      <c r="B23" t="s">
        <v>108</v>
      </c>
      <c r="C23" t="s">
        <v>109</v>
      </c>
      <c r="D23" t="s">
        <v>80</v>
      </c>
      <c r="E23" t="s">
        <v>8</v>
      </c>
      <c r="F23" s="70"/>
      <c r="G23" s="3"/>
      <c r="H23" s="3"/>
      <c r="I23" s="38">
        <f t="shared" si="1"/>
        <v>7215</v>
      </c>
      <c r="J23" s="70">
        <v>2406</v>
      </c>
      <c r="K23" s="3">
        <v>645</v>
      </c>
      <c r="L23" s="3">
        <v>7172</v>
      </c>
      <c r="M23" s="38">
        <f t="shared" si="6"/>
        <v>10223</v>
      </c>
      <c r="N23" s="70"/>
      <c r="O23" s="3"/>
      <c r="P23" s="3"/>
      <c r="Q23" s="38">
        <f t="shared" si="7"/>
        <v>3008</v>
      </c>
      <c r="R23" s="39">
        <f t="shared" si="8"/>
        <v>0.4169092169092169</v>
      </c>
      <c r="S23" s="67"/>
      <c r="T23" t="s">
        <v>93</v>
      </c>
      <c r="U23" t="s">
        <v>94</v>
      </c>
      <c r="V23">
        <v>18</v>
      </c>
      <c r="W23">
        <v>11914</v>
      </c>
      <c r="X23" t="s">
        <v>95</v>
      </c>
      <c r="Y23" t="s">
        <v>8</v>
      </c>
    </row>
    <row r="24" spans="1:25" x14ac:dyDescent="0.25">
      <c r="A24" s="37" t="s">
        <v>110</v>
      </c>
      <c r="B24" t="s">
        <v>111</v>
      </c>
      <c r="C24" t="s">
        <v>112</v>
      </c>
      <c r="D24" t="s">
        <v>80</v>
      </c>
      <c r="E24" t="s">
        <v>8</v>
      </c>
      <c r="F24" s="70"/>
      <c r="G24" s="3"/>
      <c r="H24" s="3"/>
      <c r="I24" s="38">
        <f t="shared" si="1"/>
        <v>7641</v>
      </c>
      <c r="J24" s="70">
        <v>4081</v>
      </c>
      <c r="K24" s="3">
        <v>839</v>
      </c>
      <c r="L24" s="3">
        <v>2755</v>
      </c>
      <c r="M24" s="38">
        <f t="shared" si="6"/>
        <v>7675</v>
      </c>
      <c r="N24" s="70"/>
      <c r="O24" s="3"/>
      <c r="P24" s="3"/>
      <c r="Q24" s="38">
        <f t="shared" si="7"/>
        <v>34</v>
      </c>
      <c r="R24" s="39">
        <f t="shared" si="8"/>
        <v>4.449679361340139E-3</v>
      </c>
      <c r="S24" s="67"/>
      <c r="T24" t="s">
        <v>98</v>
      </c>
      <c r="U24" t="s">
        <v>99</v>
      </c>
      <c r="V24">
        <v>19</v>
      </c>
      <c r="W24">
        <v>4286</v>
      </c>
      <c r="X24" t="s">
        <v>100</v>
      </c>
      <c r="Y24" t="s">
        <v>8</v>
      </c>
    </row>
    <row r="25" spans="1:25" x14ac:dyDescent="0.25">
      <c r="A25" s="37" t="s">
        <v>113</v>
      </c>
      <c r="B25" t="s">
        <v>114</v>
      </c>
      <c r="C25" t="s">
        <v>115</v>
      </c>
      <c r="D25" t="s">
        <v>80</v>
      </c>
      <c r="E25" t="s">
        <v>8</v>
      </c>
      <c r="F25" s="70"/>
      <c r="G25" s="3"/>
      <c r="H25" s="3"/>
      <c r="I25" s="38">
        <f t="shared" si="1"/>
        <v>6948</v>
      </c>
      <c r="J25" s="70">
        <v>6657</v>
      </c>
      <c r="K25" s="3">
        <v>625</v>
      </c>
      <c r="L25" s="3">
        <v>1679</v>
      </c>
      <c r="M25" s="38">
        <f t="shared" si="6"/>
        <v>8961</v>
      </c>
      <c r="N25" s="70"/>
      <c r="O25" s="3"/>
      <c r="P25" s="3"/>
      <c r="Q25" s="38">
        <f t="shared" si="7"/>
        <v>2013</v>
      </c>
      <c r="R25" s="39">
        <f t="shared" si="8"/>
        <v>0.28972366148531953</v>
      </c>
      <c r="S25" s="67"/>
      <c r="T25" t="s">
        <v>101</v>
      </c>
      <c r="U25" t="s">
        <v>102</v>
      </c>
      <c r="V25">
        <v>20</v>
      </c>
      <c r="W25">
        <v>4418</v>
      </c>
      <c r="X25" t="s">
        <v>103</v>
      </c>
      <c r="Y25" t="s">
        <v>8</v>
      </c>
    </row>
    <row r="26" spans="1:25" x14ac:dyDescent="0.25">
      <c r="A26" s="37" t="s">
        <v>116</v>
      </c>
      <c r="B26" t="s">
        <v>117</v>
      </c>
      <c r="C26" t="s">
        <v>118</v>
      </c>
      <c r="D26" t="s">
        <v>80</v>
      </c>
      <c r="E26" t="s">
        <v>8</v>
      </c>
      <c r="F26" s="70"/>
      <c r="G26" s="3"/>
      <c r="H26" s="3"/>
      <c r="I26" s="38">
        <f t="shared" si="1"/>
        <v>11907</v>
      </c>
      <c r="J26" s="70">
        <v>10468</v>
      </c>
      <c r="K26" s="3">
        <v>1447</v>
      </c>
      <c r="L26" s="3">
        <v>8220</v>
      </c>
      <c r="M26" s="38">
        <f t="shared" si="6"/>
        <v>20135</v>
      </c>
      <c r="N26" s="70"/>
      <c r="O26" s="3"/>
      <c r="P26" s="3"/>
      <c r="Q26" s="38">
        <f t="shared" si="7"/>
        <v>8228</v>
      </c>
      <c r="R26" s="39">
        <f t="shared" si="8"/>
        <v>0.69102208784748465</v>
      </c>
      <c r="S26" s="67"/>
      <c r="T26" t="s">
        <v>104</v>
      </c>
      <c r="U26" t="s">
        <v>105</v>
      </c>
      <c r="V26">
        <v>21</v>
      </c>
      <c r="W26">
        <v>6084</v>
      </c>
      <c r="X26" t="s">
        <v>106</v>
      </c>
      <c r="Y26" t="s">
        <v>8</v>
      </c>
    </row>
    <row r="27" spans="1:25" x14ac:dyDescent="0.25">
      <c r="A27" s="37" t="s">
        <v>119</v>
      </c>
      <c r="B27" t="s">
        <v>120</v>
      </c>
      <c r="C27" t="s">
        <v>121</v>
      </c>
      <c r="D27" t="s">
        <v>80</v>
      </c>
      <c r="E27" t="s">
        <v>8</v>
      </c>
      <c r="F27" s="70"/>
      <c r="G27" s="3"/>
      <c r="H27" s="3"/>
      <c r="I27" s="38">
        <f t="shared" si="1"/>
        <v>21859</v>
      </c>
      <c r="J27" s="70">
        <v>5694</v>
      </c>
      <c r="K27" s="3">
        <v>3913</v>
      </c>
      <c r="L27" s="3">
        <v>15987</v>
      </c>
      <c r="M27" s="38">
        <f t="shared" si="6"/>
        <v>25594</v>
      </c>
      <c r="N27" s="70"/>
      <c r="O27" s="3"/>
      <c r="P27" s="3"/>
      <c r="Q27" s="38">
        <f t="shared" si="7"/>
        <v>3735</v>
      </c>
      <c r="R27" s="39">
        <f t="shared" si="8"/>
        <v>0.17086783475913811</v>
      </c>
      <c r="S27" s="67"/>
      <c r="T27" t="s">
        <v>107</v>
      </c>
      <c r="U27" t="s">
        <v>108</v>
      </c>
      <c r="V27">
        <v>22</v>
      </c>
      <c r="W27">
        <v>7215</v>
      </c>
      <c r="X27" t="s">
        <v>109</v>
      </c>
      <c r="Y27" t="s">
        <v>8</v>
      </c>
    </row>
    <row r="28" spans="1:25" x14ac:dyDescent="0.25">
      <c r="A28" s="37" t="s">
        <v>122</v>
      </c>
      <c r="B28" t="s">
        <v>123</v>
      </c>
      <c r="C28" t="s">
        <v>124</v>
      </c>
      <c r="D28" t="s">
        <v>80</v>
      </c>
      <c r="E28" t="s">
        <v>8</v>
      </c>
      <c r="F28" s="70"/>
      <c r="G28" s="3"/>
      <c r="H28" s="3"/>
      <c r="I28" s="38">
        <f t="shared" si="1"/>
        <v>0</v>
      </c>
      <c r="J28" s="70" t="s">
        <v>690</v>
      </c>
      <c r="K28" s="3" t="s">
        <v>690</v>
      </c>
      <c r="L28" s="3" t="s">
        <v>690</v>
      </c>
      <c r="M28" s="38">
        <f t="shared" si="6"/>
        <v>0</v>
      </c>
      <c r="N28" s="70"/>
      <c r="O28" s="3"/>
      <c r="P28" s="3"/>
      <c r="Q28" s="38">
        <f t="shared" si="7"/>
        <v>0</v>
      </c>
      <c r="R28" s="39" t="e">
        <f t="shared" si="8"/>
        <v>#DIV/0!</v>
      </c>
      <c r="S28" s="67"/>
      <c r="T28" t="s">
        <v>110</v>
      </c>
      <c r="U28" t="s">
        <v>111</v>
      </c>
      <c r="V28">
        <v>23</v>
      </c>
      <c r="W28">
        <v>7641</v>
      </c>
      <c r="X28" t="s">
        <v>112</v>
      </c>
      <c r="Y28" t="s">
        <v>8</v>
      </c>
    </row>
    <row r="29" spans="1:25" ht="15.75" thickBot="1" x14ac:dyDescent="0.3">
      <c r="A29" s="41" t="s">
        <v>125</v>
      </c>
      <c r="B29" s="13" t="s">
        <v>126</v>
      </c>
      <c r="C29" s="13" t="s">
        <v>127</v>
      </c>
      <c r="D29" s="13" t="s">
        <v>80</v>
      </c>
      <c r="E29" s="13" t="s">
        <v>8</v>
      </c>
      <c r="F29" s="77"/>
      <c r="G29" s="32"/>
      <c r="H29" s="32"/>
      <c r="I29" s="52">
        <f t="shared" si="1"/>
        <v>0</v>
      </c>
      <c r="J29" s="77" t="s">
        <v>690</v>
      </c>
      <c r="K29" s="32" t="s">
        <v>690</v>
      </c>
      <c r="L29" s="32" t="s">
        <v>690</v>
      </c>
      <c r="M29" s="52">
        <f t="shared" si="6"/>
        <v>0</v>
      </c>
      <c r="N29" s="77"/>
      <c r="O29" s="32"/>
      <c r="P29" s="32"/>
      <c r="Q29" s="52">
        <f t="shared" si="7"/>
        <v>0</v>
      </c>
      <c r="R29" s="39" t="e">
        <f t="shared" si="8"/>
        <v>#DIV/0!</v>
      </c>
      <c r="S29" s="67"/>
      <c r="T29" t="s">
        <v>113</v>
      </c>
      <c r="U29" t="s">
        <v>114</v>
      </c>
      <c r="V29">
        <v>24</v>
      </c>
      <c r="W29">
        <v>6948</v>
      </c>
      <c r="X29" t="s">
        <v>115</v>
      </c>
      <c r="Y29" t="s">
        <v>8</v>
      </c>
    </row>
    <row r="30" spans="1:25" x14ac:dyDescent="0.25">
      <c r="A30" s="53" t="s">
        <v>128</v>
      </c>
      <c r="B30" s="54" t="s">
        <v>129</v>
      </c>
      <c r="C30" s="54" t="s">
        <v>130</v>
      </c>
      <c r="D30" s="54" t="s">
        <v>131</v>
      </c>
      <c r="E30" s="54" t="s">
        <v>9</v>
      </c>
      <c r="F30" s="78"/>
      <c r="G30" s="55"/>
      <c r="H30" s="55"/>
      <c r="I30" s="56">
        <f t="shared" si="1"/>
        <v>1089</v>
      </c>
      <c r="J30" s="78">
        <v>1219</v>
      </c>
      <c r="K30" s="55">
        <v>93</v>
      </c>
      <c r="L30" s="55">
        <v>4</v>
      </c>
      <c r="M30" s="56">
        <f t="shared" ref="M30:M34" si="9">SUM(J30:L30)</f>
        <v>1316</v>
      </c>
      <c r="N30" s="78"/>
      <c r="O30" s="55"/>
      <c r="P30" s="55"/>
      <c r="Q30" s="56">
        <f t="shared" ref="Q30:Q34" si="10">M30-I30</f>
        <v>227</v>
      </c>
      <c r="R30" s="39">
        <f t="shared" ref="R30:R34" si="11">Q30/I30</f>
        <v>0.20844811753902662</v>
      </c>
      <c r="S30" s="39"/>
      <c r="T30" t="s">
        <v>116</v>
      </c>
      <c r="U30" t="s">
        <v>117</v>
      </c>
      <c r="V30">
        <v>25</v>
      </c>
      <c r="W30">
        <v>11907</v>
      </c>
      <c r="X30" t="s">
        <v>118</v>
      </c>
      <c r="Y30" t="s">
        <v>8</v>
      </c>
    </row>
    <row r="31" spans="1:25" x14ac:dyDescent="0.25">
      <c r="A31" s="42" t="s">
        <v>132</v>
      </c>
      <c r="B31" s="43" t="s">
        <v>133</v>
      </c>
      <c r="C31" s="43" t="s">
        <v>134</v>
      </c>
      <c r="D31" s="43" t="s">
        <v>131</v>
      </c>
      <c r="E31" s="43" t="s">
        <v>9</v>
      </c>
      <c r="F31" s="79"/>
      <c r="G31" s="80"/>
      <c r="H31" s="80"/>
      <c r="I31" s="44">
        <f t="shared" si="1"/>
        <v>3625</v>
      </c>
      <c r="J31" s="79">
        <v>40</v>
      </c>
      <c r="K31" s="80">
        <v>70</v>
      </c>
      <c r="L31" s="80">
        <v>1876</v>
      </c>
      <c r="M31" s="44">
        <f t="shared" si="9"/>
        <v>1986</v>
      </c>
      <c r="N31" s="79"/>
      <c r="O31" s="80"/>
      <c r="P31" s="80"/>
      <c r="Q31" s="44">
        <f t="shared" si="10"/>
        <v>-1639</v>
      </c>
      <c r="R31" s="39">
        <f t="shared" si="11"/>
        <v>-0.45213793103448274</v>
      </c>
      <c r="S31" s="67"/>
      <c r="T31" t="s">
        <v>119</v>
      </c>
      <c r="U31" t="s">
        <v>120</v>
      </c>
      <c r="V31">
        <v>26</v>
      </c>
      <c r="W31">
        <v>21859</v>
      </c>
      <c r="X31" t="s">
        <v>121</v>
      </c>
      <c r="Y31" t="s">
        <v>8</v>
      </c>
    </row>
    <row r="32" spans="1:25" x14ac:dyDescent="0.25">
      <c r="A32" s="42" t="s">
        <v>135</v>
      </c>
      <c r="B32" s="43" t="s">
        <v>136</v>
      </c>
      <c r="C32" s="43" t="s">
        <v>137</v>
      </c>
      <c r="D32" s="43" t="s">
        <v>131</v>
      </c>
      <c r="E32" s="43" t="s">
        <v>9</v>
      </c>
      <c r="F32" s="79"/>
      <c r="G32" s="80"/>
      <c r="H32" s="80"/>
      <c r="I32" s="44">
        <f t="shared" si="1"/>
        <v>283</v>
      </c>
      <c r="J32" s="79">
        <v>0</v>
      </c>
      <c r="K32" s="80">
        <v>0</v>
      </c>
      <c r="L32" s="80">
        <v>0</v>
      </c>
      <c r="M32" s="44">
        <f t="shared" si="9"/>
        <v>0</v>
      </c>
      <c r="N32" s="79"/>
      <c r="O32" s="80"/>
      <c r="P32" s="80"/>
      <c r="Q32" s="44">
        <f t="shared" si="10"/>
        <v>-283</v>
      </c>
      <c r="R32" s="39">
        <f t="shared" si="11"/>
        <v>-1</v>
      </c>
      <c r="S32" s="67"/>
      <c r="T32" t="s">
        <v>122</v>
      </c>
      <c r="U32" t="s">
        <v>123</v>
      </c>
      <c r="V32">
        <v>27</v>
      </c>
      <c r="W32">
        <v>0</v>
      </c>
      <c r="X32" t="s">
        <v>124</v>
      </c>
      <c r="Y32" t="s">
        <v>8</v>
      </c>
    </row>
    <row r="33" spans="1:25" x14ac:dyDescent="0.25">
      <c r="A33" s="42" t="s">
        <v>138</v>
      </c>
      <c r="B33" s="43" t="s">
        <v>139</v>
      </c>
      <c r="C33" s="43" t="s">
        <v>140</v>
      </c>
      <c r="D33" s="43" t="s">
        <v>131</v>
      </c>
      <c r="E33" s="43" t="s">
        <v>9</v>
      </c>
      <c r="F33" s="79"/>
      <c r="G33" s="80"/>
      <c r="H33" s="80"/>
      <c r="I33" s="44">
        <f t="shared" si="1"/>
        <v>189</v>
      </c>
      <c r="J33" s="79">
        <v>7</v>
      </c>
      <c r="K33" s="80">
        <v>21</v>
      </c>
      <c r="L33" s="80">
        <v>0</v>
      </c>
      <c r="M33" s="44">
        <f t="shared" si="9"/>
        <v>28</v>
      </c>
      <c r="N33" s="79"/>
      <c r="O33" s="80"/>
      <c r="P33" s="80"/>
      <c r="Q33" s="44">
        <f t="shared" si="10"/>
        <v>-161</v>
      </c>
      <c r="R33" s="39">
        <f t="shared" si="11"/>
        <v>-0.85185185185185186</v>
      </c>
      <c r="S33" s="67"/>
      <c r="T33" t="s">
        <v>125</v>
      </c>
      <c r="U33" t="s">
        <v>126</v>
      </c>
      <c r="V33">
        <v>28</v>
      </c>
      <c r="W33">
        <v>0</v>
      </c>
      <c r="X33" t="s">
        <v>127</v>
      </c>
      <c r="Y33" t="s">
        <v>8</v>
      </c>
    </row>
    <row r="34" spans="1:25" ht="15.75" thickBot="1" x14ac:dyDescent="0.3">
      <c r="A34" s="57" t="s">
        <v>141</v>
      </c>
      <c r="B34" s="58" t="s">
        <v>142</v>
      </c>
      <c r="C34" s="58" t="s">
        <v>143</v>
      </c>
      <c r="D34" s="58" t="s">
        <v>131</v>
      </c>
      <c r="E34" s="58" t="s">
        <v>9</v>
      </c>
      <c r="F34" s="81"/>
      <c r="G34" s="59"/>
      <c r="H34" s="59"/>
      <c r="I34" s="60">
        <f t="shared" si="1"/>
        <v>224</v>
      </c>
      <c r="J34" s="81">
        <v>168</v>
      </c>
      <c r="K34" s="59">
        <v>14</v>
      </c>
      <c r="L34" s="59">
        <v>10</v>
      </c>
      <c r="M34" s="60">
        <f t="shared" si="9"/>
        <v>192</v>
      </c>
      <c r="N34" s="81"/>
      <c r="O34" s="59"/>
      <c r="P34" s="59"/>
      <c r="Q34" s="60">
        <f t="shared" si="10"/>
        <v>-32</v>
      </c>
      <c r="R34" s="39">
        <f t="shared" si="11"/>
        <v>-0.14285714285714285</v>
      </c>
      <c r="S34" s="67"/>
      <c r="T34" t="s">
        <v>128</v>
      </c>
      <c r="U34" t="s">
        <v>129</v>
      </c>
      <c r="V34">
        <v>29</v>
      </c>
      <c r="W34">
        <v>1089</v>
      </c>
      <c r="X34" t="s">
        <v>130</v>
      </c>
      <c r="Y34" t="s">
        <v>9</v>
      </c>
    </row>
    <row r="35" spans="1:25" x14ac:dyDescent="0.25">
      <c r="A35" s="36" t="s">
        <v>72</v>
      </c>
      <c r="B35" s="11" t="s">
        <v>73</v>
      </c>
      <c r="C35" s="11">
        <v>741</v>
      </c>
      <c r="D35" s="11" t="s">
        <v>144</v>
      </c>
      <c r="E35" s="11" t="s">
        <v>10</v>
      </c>
      <c r="F35" s="76"/>
      <c r="G35" s="50"/>
      <c r="H35" s="50"/>
      <c r="I35" s="51">
        <f t="shared" si="1"/>
        <v>6310</v>
      </c>
      <c r="J35" s="76">
        <v>11722</v>
      </c>
      <c r="K35" s="50">
        <v>527</v>
      </c>
      <c r="L35" s="50">
        <v>901</v>
      </c>
      <c r="M35" s="51">
        <f t="shared" si="3"/>
        <v>13150</v>
      </c>
      <c r="N35" s="76"/>
      <c r="O35" s="50"/>
      <c r="P35" s="50"/>
      <c r="Q35" s="51">
        <f t="shared" si="4"/>
        <v>6840</v>
      </c>
      <c r="R35" s="39">
        <f t="shared" si="5"/>
        <v>1.0839936608557845</v>
      </c>
      <c r="S35" s="67"/>
      <c r="T35" t="s">
        <v>132</v>
      </c>
      <c r="U35" t="s">
        <v>133</v>
      </c>
      <c r="V35">
        <v>30</v>
      </c>
      <c r="W35">
        <v>3625</v>
      </c>
      <c r="X35" t="s">
        <v>134</v>
      </c>
      <c r="Y35" t="s">
        <v>9</v>
      </c>
    </row>
    <row r="36" spans="1:25" x14ac:dyDescent="0.25">
      <c r="A36" s="37" t="s">
        <v>75</v>
      </c>
      <c r="B36" t="s">
        <v>76</v>
      </c>
      <c r="C36">
        <v>742</v>
      </c>
      <c r="D36" t="s">
        <v>144</v>
      </c>
      <c r="E36" t="s">
        <v>10</v>
      </c>
      <c r="F36" s="70"/>
      <c r="G36" s="3"/>
      <c r="H36" s="3"/>
      <c r="I36" s="38">
        <f t="shared" si="1"/>
        <v>3501</v>
      </c>
      <c r="J36" s="70">
        <v>12171</v>
      </c>
      <c r="K36" s="3">
        <v>248</v>
      </c>
      <c r="L36" s="3">
        <v>900</v>
      </c>
      <c r="M36" s="38">
        <f t="shared" si="3"/>
        <v>13319</v>
      </c>
      <c r="N36" s="70"/>
      <c r="O36" s="3"/>
      <c r="P36" s="3"/>
      <c r="Q36" s="38">
        <f t="shared" si="4"/>
        <v>9818</v>
      </c>
      <c r="R36" s="39">
        <f t="shared" si="5"/>
        <v>2.8043416166809485</v>
      </c>
      <c r="S36" s="67"/>
      <c r="T36" t="s">
        <v>135</v>
      </c>
      <c r="U36" t="s">
        <v>136</v>
      </c>
      <c r="V36">
        <v>31</v>
      </c>
      <c r="W36">
        <v>283</v>
      </c>
      <c r="X36" t="s">
        <v>137</v>
      </c>
      <c r="Y36" t="s">
        <v>9</v>
      </c>
    </row>
    <row r="37" spans="1:25" x14ac:dyDescent="0.25">
      <c r="A37" s="37" t="s">
        <v>81</v>
      </c>
      <c r="B37" t="s">
        <v>82</v>
      </c>
      <c r="C37">
        <v>743</v>
      </c>
      <c r="D37" t="s">
        <v>144</v>
      </c>
      <c r="E37" t="s">
        <v>10</v>
      </c>
      <c r="F37" s="70"/>
      <c r="G37" s="3"/>
      <c r="H37" s="3"/>
      <c r="I37" s="38">
        <f t="shared" si="1"/>
        <v>9569</v>
      </c>
      <c r="J37" s="70">
        <v>8979</v>
      </c>
      <c r="K37" s="3">
        <v>185</v>
      </c>
      <c r="L37" s="3">
        <v>896</v>
      </c>
      <c r="M37" s="38">
        <f t="shared" si="3"/>
        <v>10060</v>
      </c>
      <c r="N37" s="70"/>
      <c r="O37" s="3"/>
      <c r="P37" s="3"/>
      <c r="Q37" s="38">
        <f t="shared" si="4"/>
        <v>491</v>
      </c>
      <c r="R37" s="39">
        <f t="shared" si="5"/>
        <v>5.1311526805308809E-2</v>
      </c>
      <c r="S37" s="67"/>
      <c r="T37" t="s">
        <v>138</v>
      </c>
      <c r="U37" t="s">
        <v>139</v>
      </c>
      <c r="V37">
        <v>32</v>
      </c>
      <c r="W37">
        <v>189</v>
      </c>
      <c r="X37" t="s">
        <v>140</v>
      </c>
      <c r="Y37" t="s">
        <v>9</v>
      </c>
    </row>
    <row r="38" spans="1:25" x14ac:dyDescent="0.25">
      <c r="A38" s="37" t="s">
        <v>86</v>
      </c>
      <c r="B38" t="s">
        <v>87</v>
      </c>
      <c r="C38">
        <v>751</v>
      </c>
      <c r="D38" t="s">
        <v>144</v>
      </c>
      <c r="E38" t="s">
        <v>10</v>
      </c>
      <c r="F38" s="70"/>
      <c r="G38" s="3"/>
      <c r="H38" s="3"/>
      <c r="I38" s="38">
        <f t="shared" si="1"/>
        <v>4618</v>
      </c>
      <c r="J38" s="70">
        <v>0</v>
      </c>
      <c r="K38" s="3">
        <v>0</v>
      </c>
      <c r="L38" s="3">
        <v>0</v>
      </c>
      <c r="M38" s="38">
        <f t="shared" si="3"/>
        <v>0</v>
      </c>
      <c r="N38" s="70"/>
      <c r="O38" s="3"/>
      <c r="P38" s="3"/>
      <c r="Q38" s="38">
        <f t="shared" si="4"/>
        <v>-4618</v>
      </c>
      <c r="R38" s="39">
        <f t="shared" ref="R38:R39" si="12">Q38/I38</f>
        <v>-1</v>
      </c>
      <c r="S38" s="67"/>
      <c r="T38" t="s">
        <v>141</v>
      </c>
      <c r="U38" t="s">
        <v>142</v>
      </c>
      <c r="V38">
        <v>33</v>
      </c>
      <c r="W38">
        <v>224</v>
      </c>
      <c r="X38" t="s">
        <v>143</v>
      </c>
      <c r="Y38" t="s">
        <v>9</v>
      </c>
    </row>
    <row r="39" spans="1:25" x14ac:dyDescent="0.25">
      <c r="A39" s="37" t="s">
        <v>91</v>
      </c>
      <c r="B39" t="s">
        <v>92</v>
      </c>
      <c r="C39">
        <v>749</v>
      </c>
      <c r="D39" t="s">
        <v>144</v>
      </c>
      <c r="E39" t="s">
        <v>10</v>
      </c>
      <c r="F39" s="70"/>
      <c r="G39" s="3"/>
      <c r="H39" s="3"/>
      <c r="I39" s="38">
        <f t="shared" si="1"/>
        <v>8333</v>
      </c>
      <c r="J39" s="70">
        <v>12945</v>
      </c>
      <c r="K39" s="3">
        <v>47</v>
      </c>
      <c r="L39" s="3">
        <v>102</v>
      </c>
      <c r="M39" s="38">
        <f t="shared" si="3"/>
        <v>13094</v>
      </c>
      <c r="N39" s="70"/>
      <c r="O39" s="3"/>
      <c r="P39" s="3"/>
      <c r="Q39" s="38">
        <f t="shared" si="4"/>
        <v>4761</v>
      </c>
      <c r="R39" s="39">
        <f t="shared" si="12"/>
        <v>0.57134285371414861</v>
      </c>
      <c r="S39" s="67"/>
      <c r="T39" t="s">
        <v>149</v>
      </c>
      <c r="U39" t="s">
        <v>150</v>
      </c>
      <c r="V39">
        <v>34</v>
      </c>
      <c r="W39">
        <v>9490</v>
      </c>
      <c r="X39">
        <v>1</v>
      </c>
      <c r="Y39" t="s">
        <v>11</v>
      </c>
    </row>
    <row r="40" spans="1:25" ht="15.75" thickBot="1" x14ac:dyDescent="0.3">
      <c r="A40" s="41" t="s">
        <v>96</v>
      </c>
      <c r="B40" s="13" t="s">
        <v>97</v>
      </c>
      <c r="C40" s="13">
        <v>746</v>
      </c>
      <c r="D40" s="13" t="s">
        <v>144</v>
      </c>
      <c r="E40" s="13" t="s">
        <v>10</v>
      </c>
      <c r="F40" s="77"/>
      <c r="G40" s="32"/>
      <c r="H40" s="32"/>
      <c r="I40" s="52">
        <f t="shared" si="1"/>
        <v>905</v>
      </c>
      <c r="J40" s="77">
        <v>0</v>
      </c>
      <c r="K40" s="32">
        <v>0</v>
      </c>
      <c r="L40" s="32">
        <v>0</v>
      </c>
      <c r="M40" s="52">
        <f t="shared" si="3"/>
        <v>0</v>
      </c>
      <c r="N40" s="77"/>
      <c r="O40" s="32"/>
      <c r="P40" s="32"/>
      <c r="Q40" s="52">
        <f t="shared" si="4"/>
        <v>-905</v>
      </c>
      <c r="R40" s="39">
        <f t="shared" si="5"/>
        <v>-1</v>
      </c>
      <c r="S40" s="67"/>
      <c r="T40" t="s">
        <v>153</v>
      </c>
      <c r="U40" t="s">
        <v>154</v>
      </c>
      <c r="V40">
        <v>35</v>
      </c>
      <c r="W40">
        <v>261</v>
      </c>
      <c r="X40">
        <v>4</v>
      </c>
      <c r="Y40" t="s">
        <v>11</v>
      </c>
    </row>
    <row r="41" spans="1:25" x14ac:dyDescent="0.25">
      <c r="A41" s="53" t="s">
        <v>149</v>
      </c>
      <c r="B41" s="54" t="s">
        <v>150</v>
      </c>
      <c r="C41" s="54">
        <v>1</v>
      </c>
      <c r="D41" s="54" t="s">
        <v>12</v>
      </c>
      <c r="E41" s="54" t="s">
        <v>12</v>
      </c>
      <c r="F41" s="78"/>
      <c r="G41" s="55"/>
      <c r="H41" s="55"/>
      <c r="I41" s="56">
        <f t="shared" si="1"/>
        <v>9490</v>
      </c>
      <c r="J41" s="78">
        <v>12024</v>
      </c>
      <c r="K41" s="55">
        <v>47</v>
      </c>
      <c r="L41" s="55">
        <v>105</v>
      </c>
      <c r="M41" s="56">
        <f t="shared" ref="M41:M62" si="13">SUM(J41:L41)</f>
        <v>12176</v>
      </c>
      <c r="N41" s="78"/>
      <c r="O41" s="55"/>
      <c r="P41" s="55"/>
      <c r="Q41" s="56">
        <f t="shared" ref="Q41:Q62" si="14">M41-I41</f>
        <v>2686</v>
      </c>
      <c r="R41" s="45">
        <f t="shared" ref="R41:R62" si="15">Q41/I41</f>
        <v>0.28303477344573236</v>
      </c>
      <c r="S41" s="67"/>
      <c r="T41" t="s">
        <v>157</v>
      </c>
      <c r="U41" t="s">
        <v>158</v>
      </c>
      <c r="V41">
        <v>36</v>
      </c>
      <c r="W41">
        <v>2869</v>
      </c>
      <c r="X41">
        <v>7</v>
      </c>
      <c r="Y41" t="s">
        <v>11</v>
      </c>
    </row>
    <row r="42" spans="1:25" x14ac:dyDescent="0.25">
      <c r="A42" s="42" t="s">
        <v>151</v>
      </c>
      <c r="B42" s="43" t="s">
        <v>152</v>
      </c>
      <c r="C42" s="43">
        <v>15</v>
      </c>
      <c r="D42" s="43" t="s">
        <v>12</v>
      </c>
      <c r="E42" s="43" t="s">
        <v>12</v>
      </c>
      <c r="F42" s="79"/>
      <c r="G42" s="80"/>
      <c r="H42" s="80"/>
      <c r="I42" s="44">
        <f t="shared" si="1"/>
        <v>5538</v>
      </c>
      <c r="J42" s="79">
        <v>9334</v>
      </c>
      <c r="K42" s="80">
        <v>18</v>
      </c>
      <c r="L42" s="80">
        <v>23</v>
      </c>
      <c r="M42" s="44">
        <f t="shared" si="13"/>
        <v>9375</v>
      </c>
      <c r="N42" s="79"/>
      <c r="O42" s="80"/>
      <c r="P42" s="80"/>
      <c r="Q42" s="44">
        <f t="shared" si="14"/>
        <v>3837</v>
      </c>
      <c r="R42" s="45">
        <f t="shared" si="15"/>
        <v>0.69284940411700979</v>
      </c>
      <c r="S42" s="67"/>
      <c r="T42" t="s">
        <v>161</v>
      </c>
      <c r="U42" t="s">
        <v>162</v>
      </c>
      <c r="V42">
        <v>37</v>
      </c>
      <c r="W42">
        <v>2874</v>
      </c>
      <c r="X42">
        <v>8</v>
      </c>
      <c r="Y42" t="s">
        <v>11</v>
      </c>
    </row>
    <row r="43" spans="1:25" x14ac:dyDescent="0.25">
      <c r="A43" s="42" t="s">
        <v>155</v>
      </c>
      <c r="B43" s="43" t="s">
        <v>156</v>
      </c>
      <c r="C43" s="43">
        <v>22</v>
      </c>
      <c r="D43" s="43" t="s">
        <v>12</v>
      </c>
      <c r="E43" s="43" t="s">
        <v>12</v>
      </c>
      <c r="F43" s="79"/>
      <c r="G43" s="80"/>
      <c r="H43" s="80"/>
      <c r="I43" s="44">
        <f t="shared" si="1"/>
        <v>8045</v>
      </c>
      <c r="J43" s="79">
        <v>9149</v>
      </c>
      <c r="K43" s="80">
        <v>18</v>
      </c>
      <c r="L43" s="80">
        <v>20</v>
      </c>
      <c r="M43" s="44">
        <f t="shared" si="13"/>
        <v>9187</v>
      </c>
      <c r="N43" s="79"/>
      <c r="O43" s="80"/>
      <c r="P43" s="80"/>
      <c r="Q43" s="44">
        <f t="shared" si="14"/>
        <v>1142</v>
      </c>
      <c r="R43" s="45">
        <f t="shared" si="15"/>
        <v>0.14195152268489744</v>
      </c>
      <c r="S43" s="67"/>
      <c r="T43" t="s">
        <v>165</v>
      </c>
      <c r="U43" t="s">
        <v>166</v>
      </c>
      <c r="V43">
        <v>38</v>
      </c>
      <c r="W43">
        <v>4975</v>
      </c>
      <c r="X43">
        <v>9</v>
      </c>
      <c r="Y43" t="s">
        <v>11</v>
      </c>
    </row>
    <row r="44" spans="1:25" x14ac:dyDescent="0.25">
      <c r="A44" s="42" t="s">
        <v>159</v>
      </c>
      <c r="B44" s="43" t="s">
        <v>160</v>
      </c>
      <c r="C44" s="43">
        <v>23</v>
      </c>
      <c r="D44" s="43" t="s">
        <v>12</v>
      </c>
      <c r="E44" s="43" t="s">
        <v>12</v>
      </c>
      <c r="F44" s="79"/>
      <c r="G44" s="80"/>
      <c r="H44" s="80"/>
      <c r="I44" s="44">
        <f t="shared" si="1"/>
        <v>11677</v>
      </c>
      <c r="J44" s="79">
        <v>22491</v>
      </c>
      <c r="K44" s="80">
        <v>125</v>
      </c>
      <c r="L44" s="80">
        <v>415</v>
      </c>
      <c r="M44" s="44">
        <f t="shared" si="13"/>
        <v>23031</v>
      </c>
      <c r="N44" s="79"/>
      <c r="O44" s="80"/>
      <c r="P44" s="80"/>
      <c r="Q44" s="44">
        <f t="shared" si="14"/>
        <v>11354</v>
      </c>
      <c r="R44" s="45">
        <f t="shared" si="15"/>
        <v>0.97233878564699838</v>
      </c>
      <c r="S44" s="67"/>
      <c r="T44" t="s">
        <v>169</v>
      </c>
      <c r="U44" t="s">
        <v>166</v>
      </c>
      <c r="V44">
        <v>39</v>
      </c>
      <c r="W44">
        <v>2431</v>
      </c>
      <c r="X44">
        <v>10</v>
      </c>
      <c r="Y44" t="s">
        <v>11</v>
      </c>
    </row>
    <row r="45" spans="1:25" x14ac:dyDescent="0.25">
      <c r="A45" s="42" t="s">
        <v>163</v>
      </c>
      <c r="B45" s="43" t="s">
        <v>164</v>
      </c>
      <c r="C45" s="43">
        <v>28</v>
      </c>
      <c r="D45" s="43" t="s">
        <v>12</v>
      </c>
      <c r="E45" s="43" t="s">
        <v>12</v>
      </c>
      <c r="F45" s="79"/>
      <c r="G45" s="80"/>
      <c r="H45" s="80"/>
      <c r="I45" s="44">
        <f t="shared" si="1"/>
        <v>12216</v>
      </c>
      <c r="J45" s="79">
        <v>45929</v>
      </c>
      <c r="K45" s="80">
        <v>276</v>
      </c>
      <c r="L45" s="80">
        <v>472</v>
      </c>
      <c r="M45" s="44">
        <f t="shared" si="13"/>
        <v>46677</v>
      </c>
      <c r="N45" s="79"/>
      <c r="O45" s="80"/>
      <c r="P45" s="80"/>
      <c r="Q45" s="44">
        <f t="shared" si="14"/>
        <v>34461</v>
      </c>
      <c r="R45" s="45">
        <f t="shared" si="15"/>
        <v>2.8209724950884087</v>
      </c>
      <c r="S45" s="67"/>
      <c r="T45" t="s">
        <v>172</v>
      </c>
      <c r="U45" t="s">
        <v>173</v>
      </c>
      <c r="V45">
        <v>40</v>
      </c>
      <c r="W45">
        <v>1634</v>
      </c>
      <c r="X45">
        <v>11</v>
      </c>
      <c r="Y45" t="s">
        <v>11</v>
      </c>
    </row>
    <row r="46" spans="1:25" x14ac:dyDescent="0.25">
      <c r="A46" s="42" t="s">
        <v>167</v>
      </c>
      <c r="B46" s="43" t="s">
        <v>168</v>
      </c>
      <c r="C46" s="43">
        <v>32</v>
      </c>
      <c r="D46" s="43" t="s">
        <v>12</v>
      </c>
      <c r="E46" s="43" t="s">
        <v>12</v>
      </c>
      <c r="F46" s="79"/>
      <c r="G46" s="80"/>
      <c r="H46" s="80"/>
      <c r="I46" s="44">
        <f t="shared" si="1"/>
        <v>7158</v>
      </c>
      <c r="J46" s="79">
        <v>8908</v>
      </c>
      <c r="K46" s="80">
        <v>66</v>
      </c>
      <c r="L46" s="80">
        <v>339</v>
      </c>
      <c r="M46" s="44">
        <f t="shared" si="13"/>
        <v>9313</v>
      </c>
      <c r="N46" s="79"/>
      <c r="O46" s="80"/>
      <c r="P46" s="80"/>
      <c r="Q46" s="44">
        <f t="shared" si="14"/>
        <v>2155</v>
      </c>
      <c r="R46" s="45">
        <f t="shared" si="15"/>
        <v>0.30106174909192512</v>
      </c>
      <c r="S46" s="67"/>
      <c r="T46" t="s">
        <v>176</v>
      </c>
      <c r="U46" t="s">
        <v>177</v>
      </c>
      <c r="V46">
        <v>41</v>
      </c>
      <c r="W46">
        <v>1109</v>
      </c>
      <c r="X46">
        <v>14</v>
      </c>
      <c r="Y46" t="s">
        <v>11</v>
      </c>
    </row>
    <row r="47" spans="1:25" x14ac:dyDescent="0.25">
      <c r="A47" s="42" t="s">
        <v>170</v>
      </c>
      <c r="B47" s="43" t="s">
        <v>171</v>
      </c>
      <c r="C47" s="43">
        <v>39</v>
      </c>
      <c r="D47" s="43" t="s">
        <v>12</v>
      </c>
      <c r="E47" s="43" t="s">
        <v>12</v>
      </c>
      <c r="F47" s="79"/>
      <c r="G47" s="80"/>
      <c r="H47" s="80"/>
      <c r="I47" s="44">
        <f t="shared" si="1"/>
        <v>9112</v>
      </c>
      <c r="J47" s="79">
        <v>8523</v>
      </c>
      <c r="K47" s="80">
        <v>40</v>
      </c>
      <c r="L47" s="80">
        <v>270</v>
      </c>
      <c r="M47" s="44">
        <f t="shared" si="13"/>
        <v>8833</v>
      </c>
      <c r="N47" s="79"/>
      <c r="O47" s="80"/>
      <c r="P47" s="80"/>
      <c r="Q47" s="44">
        <f t="shared" si="14"/>
        <v>-279</v>
      </c>
      <c r="R47" s="45">
        <f t="shared" si="15"/>
        <v>-3.0618964003511853E-2</v>
      </c>
      <c r="S47" s="67"/>
      <c r="T47" t="s">
        <v>151</v>
      </c>
      <c r="U47" t="s">
        <v>152</v>
      </c>
      <c r="V47">
        <v>42</v>
      </c>
      <c r="W47">
        <v>5538</v>
      </c>
      <c r="X47">
        <v>15</v>
      </c>
      <c r="Y47" t="s">
        <v>11</v>
      </c>
    </row>
    <row r="48" spans="1:25" x14ac:dyDescent="0.25">
      <c r="A48" s="42" t="s">
        <v>174</v>
      </c>
      <c r="B48" s="43" t="s">
        <v>175</v>
      </c>
      <c r="C48" s="43">
        <v>57</v>
      </c>
      <c r="D48" s="43" t="s">
        <v>12</v>
      </c>
      <c r="E48" s="43" t="s">
        <v>12</v>
      </c>
      <c r="F48" s="79"/>
      <c r="G48" s="80"/>
      <c r="H48" s="80"/>
      <c r="I48" s="44">
        <f t="shared" si="1"/>
        <v>8729</v>
      </c>
      <c r="J48" s="79">
        <v>14547</v>
      </c>
      <c r="K48" s="80">
        <v>69</v>
      </c>
      <c r="L48" s="80">
        <v>103</v>
      </c>
      <c r="M48" s="44">
        <f t="shared" si="13"/>
        <v>14719</v>
      </c>
      <c r="N48" s="79"/>
      <c r="O48" s="80"/>
      <c r="P48" s="80"/>
      <c r="Q48" s="44">
        <f t="shared" si="14"/>
        <v>5990</v>
      </c>
      <c r="R48" s="45">
        <f t="shared" si="15"/>
        <v>0.68621835261771102</v>
      </c>
      <c r="S48" s="67"/>
      <c r="T48" t="s">
        <v>181</v>
      </c>
      <c r="U48" t="s">
        <v>182</v>
      </c>
      <c r="V48">
        <v>43</v>
      </c>
      <c r="W48">
        <v>6537</v>
      </c>
      <c r="X48">
        <v>16</v>
      </c>
      <c r="Y48" t="s">
        <v>11</v>
      </c>
    </row>
    <row r="49" spans="1:25" x14ac:dyDescent="0.25">
      <c r="A49" s="42" t="s">
        <v>178</v>
      </c>
      <c r="B49" s="43" t="s">
        <v>150</v>
      </c>
      <c r="C49" s="43">
        <v>66</v>
      </c>
      <c r="D49" s="43" t="s">
        <v>12</v>
      </c>
      <c r="E49" s="43" t="s">
        <v>12</v>
      </c>
      <c r="F49" s="79"/>
      <c r="G49" s="80"/>
      <c r="H49" s="80"/>
      <c r="I49" s="44">
        <f t="shared" si="1"/>
        <v>12820</v>
      </c>
      <c r="J49" s="79">
        <v>11734</v>
      </c>
      <c r="K49" s="80">
        <v>39</v>
      </c>
      <c r="L49" s="80">
        <v>49</v>
      </c>
      <c r="M49" s="44">
        <f t="shared" si="13"/>
        <v>11822</v>
      </c>
      <c r="N49" s="79"/>
      <c r="O49" s="80"/>
      <c r="P49" s="80"/>
      <c r="Q49" s="44">
        <f t="shared" si="14"/>
        <v>-998</v>
      </c>
      <c r="R49" s="45">
        <f t="shared" si="15"/>
        <v>-7.7847113884555383E-2</v>
      </c>
      <c r="S49" s="67"/>
      <c r="T49" t="s">
        <v>185</v>
      </c>
      <c r="U49" t="s">
        <v>186</v>
      </c>
      <c r="V49">
        <v>44</v>
      </c>
      <c r="W49">
        <v>2023</v>
      </c>
      <c r="X49">
        <v>17</v>
      </c>
      <c r="Y49" t="s">
        <v>11</v>
      </c>
    </row>
    <row r="50" spans="1:25" x14ac:dyDescent="0.25">
      <c r="A50" s="42" t="s">
        <v>179</v>
      </c>
      <c r="B50" s="43" t="s">
        <v>180</v>
      </c>
      <c r="C50" s="43">
        <v>71</v>
      </c>
      <c r="D50" s="43" t="s">
        <v>12</v>
      </c>
      <c r="E50" s="43" t="s">
        <v>12</v>
      </c>
      <c r="F50" s="79"/>
      <c r="G50" s="80"/>
      <c r="H50" s="80"/>
      <c r="I50" s="44">
        <f t="shared" si="1"/>
        <v>2463</v>
      </c>
      <c r="J50" s="79">
        <v>4684</v>
      </c>
      <c r="K50" s="80">
        <v>85</v>
      </c>
      <c r="L50" s="80">
        <v>195</v>
      </c>
      <c r="M50" s="44">
        <f t="shared" si="13"/>
        <v>4964</v>
      </c>
      <c r="N50" s="79"/>
      <c r="O50" s="80"/>
      <c r="P50" s="80"/>
      <c r="Q50" s="44">
        <f t="shared" si="14"/>
        <v>2501</v>
      </c>
      <c r="R50" s="45">
        <f t="shared" si="15"/>
        <v>1.0154283394234673</v>
      </c>
      <c r="S50" s="67"/>
      <c r="T50" t="s">
        <v>189</v>
      </c>
      <c r="U50" t="s">
        <v>190</v>
      </c>
      <c r="V50">
        <v>45</v>
      </c>
      <c r="W50">
        <v>197</v>
      </c>
      <c r="X50">
        <v>18</v>
      </c>
      <c r="Y50" t="s">
        <v>11</v>
      </c>
    </row>
    <row r="51" spans="1:25" x14ac:dyDescent="0.25">
      <c r="A51" s="42" t="s">
        <v>183</v>
      </c>
      <c r="B51" s="43" t="s">
        <v>184</v>
      </c>
      <c r="C51" s="43">
        <v>73</v>
      </c>
      <c r="D51" s="43" t="s">
        <v>12</v>
      </c>
      <c r="E51" s="43" t="s">
        <v>12</v>
      </c>
      <c r="F51" s="79"/>
      <c r="G51" s="80"/>
      <c r="H51" s="80"/>
      <c r="I51" s="44">
        <f t="shared" si="1"/>
        <v>2816</v>
      </c>
      <c r="J51" s="79">
        <v>2386</v>
      </c>
      <c r="K51" s="80">
        <v>20</v>
      </c>
      <c r="L51" s="80">
        <v>28</v>
      </c>
      <c r="M51" s="44">
        <f t="shared" si="13"/>
        <v>2434</v>
      </c>
      <c r="N51" s="79"/>
      <c r="O51" s="80"/>
      <c r="P51" s="80"/>
      <c r="Q51" s="44">
        <f t="shared" si="14"/>
        <v>-382</v>
      </c>
      <c r="R51" s="45">
        <f t="shared" si="15"/>
        <v>-0.13565340909090909</v>
      </c>
      <c r="S51" s="67"/>
      <c r="T51" t="s">
        <v>193</v>
      </c>
      <c r="U51" t="s">
        <v>194</v>
      </c>
      <c r="V51">
        <v>46</v>
      </c>
      <c r="W51">
        <v>2760</v>
      </c>
      <c r="X51">
        <v>19</v>
      </c>
      <c r="Y51" t="s">
        <v>11</v>
      </c>
    </row>
    <row r="52" spans="1:25" x14ac:dyDescent="0.25">
      <c r="A52" s="42" t="s">
        <v>187</v>
      </c>
      <c r="B52" s="43" t="s">
        <v>188</v>
      </c>
      <c r="C52" s="43">
        <v>77</v>
      </c>
      <c r="D52" s="43" t="s">
        <v>12</v>
      </c>
      <c r="E52" s="43" t="s">
        <v>12</v>
      </c>
      <c r="F52" s="79"/>
      <c r="G52" s="80"/>
      <c r="H52" s="80"/>
      <c r="I52" s="44">
        <f t="shared" si="1"/>
        <v>4927</v>
      </c>
      <c r="J52" s="79">
        <v>7120</v>
      </c>
      <c r="K52" s="80">
        <v>40</v>
      </c>
      <c r="L52" s="80">
        <v>54</v>
      </c>
      <c r="M52" s="44">
        <f t="shared" si="13"/>
        <v>7214</v>
      </c>
      <c r="N52" s="79"/>
      <c r="O52" s="80"/>
      <c r="P52" s="80"/>
      <c r="Q52" s="44">
        <f t="shared" si="14"/>
        <v>2287</v>
      </c>
      <c r="R52" s="45">
        <f t="shared" si="15"/>
        <v>0.46417698396590218</v>
      </c>
      <c r="S52" s="67"/>
      <c r="T52" t="s">
        <v>197</v>
      </c>
      <c r="U52" t="s">
        <v>198</v>
      </c>
      <c r="V52">
        <v>47</v>
      </c>
      <c r="W52">
        <v>4494</v>
      </c>
      <c r="X52">
        <v>21</v>
      </c>
      <c r="Y52" t="s">
        <v>11</v>
      </c>
    </row>
    <row r="53" spans="1:25" x14ac:dyDescent="0.25">
      <c r="A53" s="42" t="s">
        <v>191</v>
      </c>
      <c r="B53" s="43" t="s">
        <v>192</v>
      </c>
      <c r="C53" s="43">
        <v>111</v>
      </c>
      <c r="D53" s="43" t="s">
        <v>12</v>
      </c>
      <c r="E53" s="43" t="s">
        <v>12</v>
      </c>
      <c r="F53" s="79"/>
      <c r="G53" s="80"/>
      <c r="H53" s="80"/>
      <c r="I53" s="44">
        <f t="shared" si="1"/>
        <v>10101</v>
      </c>
      <c r="J53" s="79">
        <v>7777</v>
      </c>
      <c r="K53" s="80">
        <v>40</v>
      </c>
      <c r="L53" s="80">
        <v>149</v>
      </c>
      <c r="M53" s="44">
        <f t="shared" si="13"/>
        <v>7966</v>
      </c>
      <c r="N53" s="79"/>
      <c r="O53" s="80"/>
      <c r="P53" s="80"/>
      <c r="Q53" s="44">
        <f t="shared" si="14"/>
        <v>-2135</v>
      </c>
      <c r="R53" s="45">
        <f t="shared" si="15"/>
        <v>-0.21136521136521136</v>
      </c>
      <c r="S53" s="67"/>
      <c r="T53" t="s">
        <v>155</v>
      </c>
      <c r="U53" t="s">
        <v>156</v>
      </c>
      <c r="V53">
        <v>48</v>
      </c>
      <c r="W53">
        <v>8045</v>
      </c>
      <c r="X53">
        <v>22</v>
      </c>
      <c r="Y53" t="s">
        <v>11</v>
      </c>
    </row>
    <row r="54" spans="1:25" x14ac:dyDescent="0.25">
      <c r="A54" s="42" t="s">
        <v>195</v>
      </c>
      <c r="B54" s="43" t="s">
        <v>196</v>
      </c>
      <c r="C54" s="43">
        <v>116</v>
      </c>
      <c r="D54" s="43" t="s">
        <v>12</v>
      </c>
      <c r="E54" s="43" t="s">
        <v>12</v>
      </c>
      <c r="F54" s="79"/>
      <c r="G54" s="80"/>
      <c r="H54" s="80"/>
      <c r="I54" s="44">
        <f t="shared" si="1"/>
        <v>6908</v>
      </c>
      <c r="J54" s="79">
        <v>14186</v>
      </c>
      <c r="K54" s="80">
        <v>73</v>
      </c>
      <c r="L54" s="80">
        <v>354</v>
      </c>
      <c r="M54" s="44">
        <f t="shared" si="13"/>
        <v>14613</v>
      </c>
      <c r="N54" s="79"/>
      <c r="O54" s="80"/>
      <c r="P54" s="80"/>
      <c r="Q54" s="44">
        <f t="shared" si="14"/>
        <v>7705</v>
      </c>
      <c r="R54" s="45">
        <f t="shared" si="15"/>
        <v>1.1153734800231616</v>
      </c>
      <c r="S54" s="67"/>
      <c r="T54" t="s">
        <v>159</v>
      </c>
      <c r="U54" t="s">
        <v>160</v>
      </c>
      <c r="V54">
        <v>49</v>
      </c>
      <c r="W54">
        <v>11677</v>
      </c>
      <c r="X54">
        <v>23</v>
      </c>
      <c r="Y54" t="s">
        <v>11</v>
      </c>
    </row>
    <row r="55" spans="1:25" ht="15.75" thickBot="1" x14ac:dyDescent="0.3">
      <c r="A55" s="57" t="s">
        <v>199</v>
      </c>
      <c r="B55" s="58" t="s">
        <v>200</v>
      </c>
      <c r="C55" s="58">
        <v>117</v>
      </c>
      <c r="D55" s="58" t="s">
        <v>12</v>
      </c>
      <c r="E55" s="58" t="s">
        <v>12</v>
      </c>
      <c r="F55" s="81"/>
      <c r="G55" s="59"/>
      <c r="H55" s="59"/>
      <c r="I55" s="60">
        <f t="shared" si="1"/>
        <v>6101</v>
      </c>
      <c r="J55" s="81">
        <v>0</v>
      </c>
      <c r="K55" s="59">
        <v>0</v>
      </c>
      <c r="L55" s="59">
        <v>0</v>
      </c>
      <c r="M55" s="60">
        <f t="shared" si="13"/>
        <v>0</v>
      </c>
      <c r="N55" s="81"/>
      <c r="O55" s="59"/>
      <c r="P55" s="59"/>
      <c r="Q55" s="60">
        <f t="shared" si="14"/>
        <v>-6101</v>
      </c>
      <c r="R55" s="45">
        <f t="shared" si="15"/>
        <v>-1</v>
      </c>
      <c r="S55" s="67"/>
      <c r="T55" t="s">
        <v>203</v>
      </c>
      <c r="U55" t="s">
        <v>204</v>
      </c>
      <c r="V55">
        <v>50</v>
      </c>
      <c r="W55">
        <v>2211</v>
      </c>
      <c r="X55">
        <v>24</v>
      </c>
      <c r="Y55" t="s">
        <v>11</v>
      </c>
    </row>
    <row r="56" spans="1:25" x14ac:dyDescent="0.25">
      <c r="A56" s="37" t="s">
        <v>215</v>
      </c>
      <c r="B56" t="s">
        <v>216</v>
      </c>
      <c r="C56">
        <v>354</v>
      </c>
      <c r="D56" t="s">
        <v>669</v>
      </c>
      <c r="E56" t="s">
        <v>669</v>
      </c>
      <c r="F56" s="70"/>
      <c r="G56" s="3"/>
      <c r="H56" s="3"/>
      <c r="I56" s="38">
        <f t="shared" si="1"/>
        <v>659</v>
      </c>
      <c r="J56" s="70">
        <v>477</v>
      </c>
      <c r="K56" s="3">
        <v>9</v>
      </c>
      <c r="L56" s="3">
        <v>196</v>
      </c>
      <c r="M56" s="38">
        <f t="shared" si="13"/>
        <v>682</v>
      </c>
      <c r="N56" s="70"/>
      <c r="O56" s="3"/>
      <c r="P56" s="3"/>
      <c r="Q56" s="38">
        <f t="shared" si="14"/>
        <v>23</v>
      </c>
      <c r="R56" s="39">
        <f t="shared" si="15"/>
        <v>3.490136570561457E-2</v>
      </c>
      <c r="S56" s="67"/>
      <c r="T56" t="s">
        <v>207</v>
      </c>
      <c r="U56" t="s">
        <v>208</v>
      </c>
      <c r="V56">
        <v>51</v>
      </c>
      <c r="W56">
        <v>718</v>
      </c>
      <c r="X56">
        <v>26</v>
      </c>
      <c r="Y56" t="s">
        <v>11</v>
      </c>
    </row>
    <row r="57" spans="1:25" x14ac:dyDescent="0.25">
      <c r="A57" s="37" t="s">
        <v>410</v>
      </c>
      <c r="B57" t="s">
        <v>411</v>
      </c>
      <c r="C57">
        <v>426</v>
      </c>
      <c r="D57" t="s">
        <v>669</v>
      </c>
      <c r="E57" t="s">
        <v>669</v>
      </c>
      <c r="F57" s="70"/>
      <c r="G57" s="3"/>
      <c r="H57" s="3"/>
      <c r="I57" s="38">
        <f>VLOOKUP(A57,$T$5:$W$279,4,0)</f>
        <v>1557</v>
      </c>
      <c r="J57" s="70">
        <v>1538</v>
      </c>
      <c r="K57" s="3">
        <v>10</v>
      </c>
      <c r="L57" s="3">
        <v>82</v>
      </c>
      <c r="M57" s="38">
        <f>SUM(J57:L57)</f>
        <v>1630</v>
      </c>
      <c r="N57" s="70"/>
      <c r="O57" s="3"/>
      <c r="P57" s="3"/>
      <c r="Q57" s="38">
        <f>M57-I57</f>
        <v>73</v>
      </c>
      <c r="R57" s="39">
        <f>Q57/I57</f>
        <v>4.6885035324341684E-2</v>
      </c>
      <c r="S57" s="67"/>
      <c r="T57" t="s">
        <v>163</v>
      </c>
      <c r="U57" t="s">
        <v>164</v>
      </c>
      <c r="V57">
        <v>52</v>
      </c>
      <c r="W57">
        <v>12216</v>
      </c>
      <c r="X57">
        <v>28</v>
      </c>
      <c r="Y57" t="s">
        <v>11</v>
      </c>
    </row>
    <row r="58" spans="1:25" x14ac:dyDescent="0.25">
      <c r="A58" s="37" t="s">
        <v>223</v>
      </c>
      <c r="B58" t="s">
        <v>224</v>
      </c>
      <c r="C58">
        <v>428</v>
      </c>
      <c r="D58" t="s">
        <v>669</v>
      </c>
      <c r="E58" t="s">
        <v>669</v>
      </c>
      <c r="F58" s="70"/>
      <c r="G58" s="3"/>
      <c r="H58" s="3"/>
      <c r="I58" s="38">
        <f t="shared" si="1"/>
        <v>108</v>
      </c>
      <c r="J58" s="70">
        <v>0</v>
      </c>
      <c r="K58" s="3">
        <v>0</v>
      </c>
      <c r="L58" s="3">
        <v>0</v>
      </c>
      <c r="M58" s="38">
        <f t="shared" si="13"/>
        <v>0</v>
      </c>
      <c r="N58" s="70"/>
      <c r="O58" s="3"/>
      <c r="P58" s="3"/>
      <c r="Q58" s="38">
        <f t="shared" si="14"/>
        <v>-108</v>
      </c>
      <c r="R58" s="39">
        <f t="shared" si="15"/>
        <v>-1</v>
      </c>
      <c r="S58" s="67"/>
      <c r="T58" t="s">
        <v>213</v>
      </c>
      <c r="U58" t="s">
        <v>214</v>
      </c>
      <c r="V58">
        <v>53</v>
      </c>
      <c r="W58">
        <v>1251</v>
      </c>
      <c r="X58">
        <v>29</v>
      </c>
      <c r="Y58" t="s">
        <v>11</v>
      </c>
    </row>
    <row r="59" spans="1:25" x14ac:dyDescent="0.25">
      <c r="A59" s="37" t="s">
        <v>426</v>
      </c>
      <c r="B59" t="s">
        <v>427</v>
      </c>
      <c r="C59">
        <v>450</v>
      </c>
      <c r="D59" t="s">
        <v>669</v>
      </c>
      <c r="E59" t="s">
        <v>669</v>
      </c>
      <c r="F59" s="70"/>
      <c r="G59" s="3"/>
      <c r="H59" s="3"/>
      <c r="I59" s="38">
        <f>VLOOKUP(A59,$T$5:$W$279,4,0)</f>
        <v>1938</v>
      </c>
      <c r="J59" s="70">
        <v>1955</v>
      </c>
      <c r="K59" s="3">
        <v>20</v>
      </c>
      <c r="L59" s="3">
        <v>44</v>
      </c>
      <c r="M59" s="38">
        <f>SUM(J59:L59)</f>
        <v>2019</v>
      </c>
      <c r="N59" s="70"/>
      <c r="O59" s="3"/>
      <c r="P59" s="3"/>
      <c r="Q59" s="38">
        <f>M59-I59</f>
        <v>81</v>
      </c>
      <c r="R59" s="39">
        <f>Q59/I59</f>
        <v>4.1795665634674919E-2</v>
      </c>
      <c r="S59" s="67"/>
      <c r="T59" t="s">
        <v>217</v>
      </c>
      <c r="U59" t="s">
        <v>218</v>
      </c>
      <c r="V59">
        <v>54</v>
      </c>
      <c r="W59">
        <v>1998</v>
      </c>
      <c r="X59">
        <v>30</v>
      </c>
      <c r="Y59" t="s">
        <v>11</v>
      </c>
    </row>
    <row r="60" spans="1:25" x14ac:dyDescent="0.25">
      <c r="A60" s="37" t="s">
        <v>232</v>
      </c>
      <c r="B60" t="s">
        <v>233</v>
      </c>
      <c r="C60">
        <v>501</v>
      </c>
      <c r="D60" t="s">
        <v>669</v>
      </c>
      <c r="E60" t="s">
        <v>669</v>
      </c>
      <c r="F60" s="70"/>
      <c r="G60" s="3"/>
      <c r="H60" s="3"/>
      <c r="I60" s="38">
        <f t="shared" si="1"/>
        <v>1125</v>
      </c>
      <c r="J60" s="70">
        <v>706</v>
      </c>
      <c r="K60" s="3">
        <v>2</v>
      </c>
      <c r="L60" s="3">
        <v>15</v>
      </c>
      <c r="M60" s="38">
        <f t="shared" si="13"/>
        <v>723</v>
      </c>
      <c r="N60" s="70"/>
      <c r="O60" s="3"/>
      <c r="P60" s="3"/>
      <c r="Q60" s="38">
        <f t="shared" si="14"/>
        <v>-402</v>
      </c>
      <c r="R60" s="39">
        <f t="shared" si="15"/>
        <v>-0.35733333333333334</v>
      </c>
      <c r="S60" s="67"/>
      <c r="T60" t="s">
        <v>221</v>
      </c>
      <c r="U60" t="s">
        <v>222</v>
      </c>
      <c r="V60">
        <v>55</v>
      </c>
      <c r="W60">
        <v>3724</v>
      </c>
      <c r="X60">
        <v>31</v>
      </c>
      <c r="Y60" t="s">
        <v>11</v>
      </c>
    </row>
    <row r="61" spans="1:25" x14ac:dyDescent="0.25">
      <c r="A61" s="37" t="s">
        <v>236</v>
      </c>
      <c r="B61" t="s">
        <v>237</v>
      </c>
      <c r="C61">
        <v>504</v>
      </c>
      <c r="D61" t="s">
        <v>669</v>
      </c>
      <c r="E61" t="s">
        <v>669</v>
      </c>
      <c r="F61" s="70"/>
      <c r="G61" s="3"/>
      <c r="H61" s="3"/>
      <c r="I61" s="38">
        <f t="shared" si="1"/>
        <v>1160</v>
      </c>
      <c r="J61" s="70">
        <v>923</v>
      </c>
      <c r="K61" s="3">
        <v>3</v>
      </c>
      <c r="L61" s="3">
        <v>78</v>
      </c>
      <c r="M61" s="38">
        <f t="shared" si="13"/>
        <v>1004</v>
      </c>
      <c r="N61" s="70"/>
      <c r="O61" s="3"/>
      <c r="P61" s="3"/>
      <c r="Q61" s="38">
        <f t="shared" si="14"/>
        <v>-156</v>
      </c>
      <c r="R61" s="39">
        <f t="shared" si="15"/>
        <v>-0.13448275862068965</v>
      </c>
      <c r="S61" s="67"/>
      <c r="T61" t="s">
        <v>167</v>
      </c>
      <c r="U61" t="s">
        <v>168</v>
      </c>
      <c r="V61">
        <v>56</v>
      </c>
      <c r="W61">
        <v>7158</v>
      </c>
      <c r="X61">
        <v>32</v>
      </c>
      <c r="Y61" t="s">
        <v>11</v>
      </c>
    </row>
    <row r="62" spans="1:25" ht="15.75" thickBot="1" x14ac:dyDescent="0.3">
      <c r="A62" s="37" t="s">
        <v>240</v>
      </c>
      <c r="B62" t="s">
        <v>241</v>
      </c>
      <c r="C62">
        <v>505</v>
      </c>
      <c r="D62" t="s">
        <v>669</v>
      </c>
      <c r="E62" t="s">
        <v>669</v>
      </c>
      <c r="F62" s="70"/>
      <c r="G62" s="3"/>
      <c r="H62" s="3"/>
      <c r="I62" s="38">
        <f t="shared" si="1"/>
        <v>471</v>
      </c>
      <c r="J62" s="70">
        <v>714</v>
      </c>
      <c r="K62" s="3">
        <v>6</v>
      </c>
      <c r="L62" s="3">
        <v>177</v>
      </c>
      <c r="M62" s="38">
        <f t="shared" si="13"/>
        <v>897</v>
      </c>
      <c r="N62" s="70"/>
      <c r="O62" s="3"/>
      <c r="P62" s="3"/>
      <c r="Q62" s="38">
        <f t="shared" si="14"/>
        <v>426</v>
      </c>
      <c r="R62" s="39">
        <f t="shared" si="15"/>
        <v>0.90445859872611467</v>
      </c>
      <c r="S62" s="67"/>
      <c r="T62" t="s">
        <v>227</v>
      </c>
      <c r="U62" t="s">
        <v>228</v>
      </c>
      <c r="V62">
        <v>57</v>
      </c>
      <c r="W62">
        <v>0</v>
      </c>
      <c r="X62">
        <v>3233</v>
      </c>
      <c r="Y62" t="s">
        <v>11</v>
      </c>
    </row>
    <row r="63" spans="1:25" x14ac:dyDescent="0.25">
      <c r="A63" s="36" t="s">
        <v>153</v>
      </c>
      <c r="B63" s="11" t="s">
        <v>154</v>
      </c>
      <c r="C63" s="11">
        <v>4</v>
      </c>
      <c r="D63" s="11" t="s">
        <v>11</v>
      </c>
      <c r="E63" s="11" t="s">
        <v>11</v>
      </c>
      <c r="F63" s="76"/>
      <c r="G63" s="50"/>
      <c r="H63" s="50"/>
      <c r="I63" s="51">
        <f>VLOOKUP(A63,$T$5:$W$279,4,0)</f>
        <v>261</v>
      </c>
      <c r="J63" s="76">
        <v>0</v>
      </c>
      <c r="K63" s="50">
        <v>0</v>
      </c>
      <c r="L63" s="50">
        <v>0</v>
      </c>
      <c r="M63" s="51">
        <f>SUM(J63:L63)</f>
        <v>0</v>
      </c>
      <c r="N63" s="76"/>
      <c r="O63" s="50"/>
      <c r="P63" s="50"/>
      <c r="Q63" s="51">
        <f>M63-I63</f>
        <v>-261</v>
      </c>
      <c r="R63" s="39">
        <f>Q63/I63</f>
        <v>-1</v>
      </c>
      <c r="S63" s="67"/>
      <c r="T63" t="s">
        <v>231</v>
      </c>
      <c r="U63" t="s">
        <v>228</v>
      </c>
      <c r="V63">
        <v>58</v>
      </c>
      <c r="W63">
        <v>1344</v>
      </c>
      <c r="X63">
        <v>33</v>
      </c>
      <c r="Y63" t="s">
        <v>11</v>
      </c>
    </row>
    <row r="64" spans="1:25" x14ac:dyDescent="0.25">
      <c r="A64" s="37" t="s">
        <v>157</v>
      </c>
      <c r="B64" t="s">
        <v>158</v>
      </c>
      <c r="C64">
        <v>7</v>
      </c>
      <c r="D64" t="s">
        <v>11</v>
      </c>
      <c r="E64" t="s">
        <v>11</v>
      </c>
      <c r="F64" s="70"/>
      <c r="G64" s="3"/>
      <c r="H64" s="3"/>
      <c r="I64" s="38">
        <f t="shared" ref="I64:I126" si="16">VLOOKUP(A64,$T$5:$W$279,4,0)</f>
        <v>2869</v>
      </c>
      <c r="J64" s="70">
        <v>29738</v>
      </c>
      <c r="K64" s="3">
        <v>624</v>
      </c>
      <c r="L64" s="3">
        <v>2282</v>
      </c>
      <c r="M64" s="38">
        <f t="shared" si="3"/>
        <v>32644</v>
      </c>
      <c r="N64" s="70"/>
      <c r="O64" s="3"/>
      <c r="P64" s="3"/>
      <c r="Q64" s="38">
        <f t="shared" si="4"/>
        <v>29775</v>
      </c>
      <c r="R64" s="39">
        <f t="shared" si="5"/>
        <v>10.378180550714534</v>
      </c>
      <c r="S64" s="67"/>
      <c r="T64" t="s">
        <v>234</v>
      </c>
      <c r="U64" t="s">
        <v>235</v>
      </c>
      <c r="V64">
        <v>59</v>
      </c>
      <c r="W64">
        <v>5091</v>
      </c>
      <c r="X64">
        <v>34</v>
      </c>
      <c r="Y64" t="s">
        <v>11</v>
      </c>
    </row>
    <row r="65" spans="1:25" x14ac:dyDescent="0.25">
      <c r="A65" s="37" t="s">
        <v>161</v>
      </c>
      <c r="B65" t="s">
        <v>162</v>
      </c>
      <c r="C65">
        <v>8</v>
      </c>
      <c r="D65" t="s">
        <v>11</v>
      </c>
      <c r="E65" t="s">
        <v>11</v>
      </c>
      <c r="F65" s="70"/>
      <c r="G65" s="3"/>
      <c r="H65" s="3"/>
      <c r="I65" s="38">
        <f t="shared" si="16"/>
        <v>2874</v>
      </c>
      <c r="J65" s="70">
        <v>7888</v>
      </c>
      <c r="K65" s="3">
        <v>33</v>
      </c>
      <c r="L65" s="3">
        <v>45</v>
      </c>
      <c r="M65" s="38">
        <f t="shared" si="3"/>
        <v>7966</v>
      </c>
      <c r="N65" s="70"/>
      <c r="O65" s="3"/>
      <c r="P65" s="3"/>
      <c r="Q65" s="38">
        <f t="shared" si="4"/>
        <v>5092</v>
      </c>
      <c r="R65" s="39">
        <f t="shared" si="5"/>
        <v>1.7717466945024356</v>
      </c>
      <c r="S65" s="67"/>
      <c r="T65" t="s">
        <v>238</v>
      </c>
      <c r="U65" t="s">
        <v>239</v>
      </c>
      <c r="V65">
        <v>59</v>
      </c>
      <c r="W65">
        <v>0</v>
      </c>
      <c r="X65" t="s">
        <v>289</v>
      </c>
      <c r="Y65" t="s">
        <v>11</v>
      </c>
    </row>
    <row r="66" spans="1:25" x14ac:dyDescent="0.25">
      <c r="A66" s="37" t="s">
        <v>165</v>
      </c>
      <c r="B66" t="s">
        <v>166</v>
      </c>
      <c r="C66">
        <v>9</v>
      </c>
      <c r="D66" t="s">
        <v>11</v>
      </c>
      <c r="E66" t="s">
        <v>11</v>
      </c>
      <c r="F66" s="70"/>
      <c r="G66" s="3"/>
      <c r="H66" s="3"/>
      <c r="I66" s="38">
        <f t="shared" si="16"/>
        <v>4975</v>
      </c>
      <c r="J66" s="70">
        <v>6754</v>
      </c>
      <c r="K66" s="3">
        <v>35</v>
      </c>
      <c r="L66" s="3">
        <v>40</v>
      </c>
      <c r="M66" s="38">
        <f t="shared" si="3"/>
        <v>6829</v>
      </c>
      <c r="N66" s="70"/>
      <c r="O66" s="3"/>
      <c r="P66" s="3"/>
      <c r="Q66" s="38">
        <f t="shared" si="4"/>
        <v>1854</v>
      </c>
      <c r="R66" s="39">
        <f t="shared" si="5"/>
        <v>0.37266331658291457</v>
      </c>
      <c r="S66" s="67"/>
      <c r="T66" t="s">
        <v>242</v>
      </c>
      <c r="U66" t="s">
        <v>243</v>
      </c>
      <c r="V66">
        <v>61</v>
      </c>
      <c r="W66">
        <v>1596</v>
      </c>
      <c r="X66">
        <v>35</v>
      </c>
      <c r="Y66" t="s">
        <v>11</v>
      </c>
    </row>
    <row r="67" spans="1:25" x14ac:dyDescent="0.25">
      <c r="A67" s="37" t="s">
        <v>169</v>
      </c>
      <c r="B67" t="s">
        <v>166</v>
      </c>
      <c r="C67">
        <v>10</v>
      </c>
      <c r="D67" t="s">
        <v>11</v>
      </c>
      <c r="E67" t="s">
        <v>11</v>
      </c>
      <c r="F67" s="70"/>
      <c r="G67" s="3"/>
      <c r="H67" s="3"/>
      <c r="I67" s="38">
        <f t="shared" si="16"/>
        <v>2431</v>
      </c>
      <c r="J67" s="70">
        <v>990</v>
      </c>
      <c r="K67" s="3">
        <v>6</v>
      </c>
      <c r="L67" s="3">
        <v>4</v>
      </c>
      <c r="M67" s="38">
        <f t="shared" si="3"/>
        <v>1000</v>
      </c>
      <c r="N67" s="70"/>
      <c r="O67" s="3"/>
      <c r="P67" s="3"/>
      <c r="Q67" s="38">
        <f t="shared" si="4"/>
        <v>-1431</v>
      </c>
      <c r="R67" s="39">
        <f t="shared" si="5"/>
        <v>-0.58864664747017692</v>
      </c>
      <c r="S67" s="67"/>
      <c r="T67" t="s">
        <v>246</v>
      </c>
      <c r="U67" t="s">
        <v>247</v>
      </c>
      <c r="V67">
        <v>62</v>
      </c>
      <c r="W67">
        <v>2089</v>
      </c>
      <c r="X67">
        <v>36</v>
      </c>
      <c r="Y67" t="s">
        <v>11</v>
      </c>
    </row>
    <row r="68" spans="1:25" x14ac:dyDescent="0.25">
      <c r="A68" s="37" t="s">
        <v>172</v>
      </c>
      <c r="B68" t="s">
        <v>173</v>
      </c>
      <c r="C68">
        <v>11</v>
      </c>
      <c r="D68" t="s">
        <v>11</v>
      </c>
      <c r="E68" t="s">
        <v>11</v>
      </c>
      <c r="F68" s="70"/>
      <c r="G68" s="3"/>
      <c r="H68" s="3"/>
      <c r="I68" s="38">
        <f t="shared" si="16"/>
        <v>1634</v>
      </c>
      <c r="J68" s="70">
        <v>1346</v>
      </c>
      <c r="K68" s="3">
        <v>4</v>
      </c>
      <c r="L68" s="3">
        <v>1</v>
      </c>
      <c r="M68" s="38">
        <f t="shared" si="3"/>
        <v>1351</v>
      </c>
      <c r="N68" s="70"/>
      <c r="O68" s="3"/>
      <c r="P68" s="3"/>
      <c r="Q68" s="38">
        <f t="shared" si="4"/>
        <v>-283</v>
      </c>
      <c r="R68" s="39">
        <f t="shared" si="5"/>
        <v>-0.17319461444308445</v>
      </c>
      <c r="S68" s="67"/>
      <c r="T68" t="s">
        <v>250</v>
      </c>
      <c r="U68" t="s">
        <v>251</v>
      </c>
      <c r="V68">
        <v>63</v>
      </c>
      <c r="W68">
        <v>956</v>
      </c>
      <c r="X68">
        <v>37</v>
      </c>
      <c r="Y68" t="s">
        <v>11</v>
      </c>
    </row>
    <row r="69" spans="1:25" x14ac:dyDescent="0.25">
      <c r="A69" s="37" t="s">
        <v>176</v>
      </c>
      <c r="B69" t="s">
        <v>177</v>
      </c>
      <c r="C69">
        <v>14</v>
      </c>
      <c r="D69" t="s">
        <v>11</v>
      </c>
      <c r="E69" t="s">
        <v>11</v>
      </c>
      <c r="F69" s="70"/>
      <c r="G69" s="3"/>
      <c r="H69" s="3"/>
      <c r="I69" s="38">
        <f t="shared" si="16"/>
        <v>1109</v>
      </c>
      <c r="J69" s="70">
        <v>777</v>
      </c>
      <c r="K69" s="3">
        <v>6</v>
      </c>
      <c r="L69" s="3">
        <v>10</v>
      </c>
      <c r="M69" s="38">
        <f t="shared" si="3"/>
        <v>793</v>
      </c>
      <c r="N69" s="70"/>
      <c r="O69" s="3"/>
      <c r="P69" s="3"/>
      <c r="Q69" s="38">
        <f t="shared" si="4"/>
        <v>-316</v>
      </c>
      <c r="R69" s="39">
        <f t="shared" si="5"/>
        <v>-0.28494138863841301</v>
      </c>
      <c r="S69" s="67"/>
      <c r="T69" t="s">
        <v>252</v>
      </c>
      <c r="U69" t="s">
        <v>253</v>
      </c>
      <c r="V69">
        <v>64</v>
      </c>
      <c r="W69">
        <v>633</v>
      </c>
      <c r="X69">
        <v>38</v>
      </c>
      <c r="Y69" t="s">
        <v>11</v>
      </c>
    </row>
    <row r="70" spans="1:25" x14ac:dyDescent="0.25">
      <c r="A70" s="37" t="s">
        <v>181</v>
      </c>
      <c r="B70" t="s">
        <v>182</v>
      </c>
      <c r="C70">
        <v>16</v>
      </c>
      <c r="D70" t="s">
        <v>11</v>
      </c>
      <c r="E70" t="s">
        <v>11</v>
      </c>
      <c r="F70" s="70"/>
      <c r="G70" s="3"/>
      <c r="H70" s="3"/>
      <c r="I70" s="38">
        <f t="shared" si="16"/>
        <v>6537</v>
      </c>
      <c r="J70" s="70">
        <v>9717</v>
      </c>
      <c r="K70" s="3">
        <v>30</v>
      </c>
      <c r="L70" s="3">
        <v>81</v>
      </c>
      <c r="M70" s="38">
        <f t="shared" si="3"/>
        <v>9828</v>
      </c>
      <c r="N70" s="70"/>
      <c r="O70" s="3"/>
      <c r="P70" s="3"/>
      <c r="Q70" s="38">
        <f t="shared" si="4"/>
        <v>3291</v>
      </c>
      <c r="R70" s="39">
        <f t="shared" si="5"/>
        <v>0.50344194584671864</v>
      </c>
      <c r="S70" s="67"/>
      <c r="T70" t="s">
        <v>170</v>
      </c>
      <c r="U70" t="s">
        <v>171</v>
      </c>
      <c r="V70">
        <v>65</v>
      </c>
      <c r="W70">
        <v>9112</v>
      </c>
      <c r="X70">
        <v>39</v>
      </c>
      <c r="Y70" t="s">
        <v>11</v>
      </c>
    </row>
    <row r="71" spans="1:25" x14ac:dyDescent="0.25">
      <c r="A71" s="37" t="s">
        <v>185</v>
      </c>
      <c r="B71" t="s">
        <v>186</v>
      </c>
      <c r="C71">
        <v>17</v>
      </c>
      <c r="D71" t="s">
        <v>11</v>
      </c>
      <c r="E71" t="s">
        <v>11</v>
      </c>
      <c r="F71" s="70"/>
      <c r="G71" s="3"/>
      <c r="H71" s="3"/>
      <c r="I71" s="38">
        <f t="shared" si="16"/>
        <v>2023</v>
      </c>
      <c r="J71" s="70">
        <v>807</v>
      </c>
      <c r="K71" s="3">
        <v>1</v>
      </c>
      <c r="L71" s="3">
        <v>1</v>
      </c>
      <c r="M71" s="38">
        <f t="shared" si="3"/>
        <v>809</v>
      </c>
      <c r="N71" s="70"/>
      <c r="O71" s="3"/>
      <c r="P71" s="3"/>
      <c r="Q71" s="38">
        <f t="shared" si="4"/>
        <v>-1214</v>
      </c>
      <c r="R71" s="39">
        <f t="shared" si="5"/>
        <v>-0.60009886307464166</v>
      </c>
      <c r="S71" s="67"/>
      <c r="T71" t="s">
        <v>254</v>
      </c>
      <c r="U71" t="s">
        <v>255</v>
      </c>
      <c r="V71">
        <v>66</v>
      </c>
      <c r="W71">
        <v>1182</v>
      </c>
      <c r="X71">
        <v>40</v>
      </c>
      <c r="Y71" t="s">
        <v>11</v>
      </c>
    </row>
    <row r="72" spans="1:25" x14ac:dyDescent="0.25">
      <c r="A72" s="37" t="s">
        <v>189</v>
      </c>
      <c r="B72" t="s">
        <v>190</v>
      </c>
      <c r="C72">
        <v>18</v>
      </c>
      <c r="D72" t="s">
        <v>11</v>
      </c>
      <c r="E72" t="s">
        <v>11</v>
      </c>
      <c r="F72" s="70"/>
      <c r="G72" s="3"/>
      <c r="H72" s="3"/>
      <c r="I72" s="38">
        <f t="shared" si="16"/>
        <v>197</v>
      </c>
      <c r="J72" s="70">
        <v>171</v>
      </c>
      <c r="K72" s="3">
        <v>1</v>
      </c>
      <c r="L72" s="3">
        <v>1</v>
      </c>
      <c r="M72" s="38">
        <f t="shared" si="3"/>
        <v>173</v>
      </c>
      <c r="N72" s="70"/>
      <c r="O72" s="3"/>
      <c r="P72" s="3"/>
      <c r="Q72" s="38">
        <f t="shared" si="4"/>
        <v>-24</v>
      </c>
      <c r="R72" s="39">
        <f t="shared" si="5"/>
        <v>-0.12182741116751269</v>
      </c>
      <c r="S72" s="67"/>
      <c r="T72" t="s">
        <v>256</v>
      </c>
      <c r="U72" t="s">
        <v>255</v>
      </c>
      <c r="V72">
        <v>67</v>
      </c>
      <c r="W72">
        <v>0</v>
      </c>
      <c r="X72">
        <v>4050</v>
      </c>
      <c r="Y72" t="s">
        <v>11</v>
      </c>
    </row>
    <row r="73" spans="1:25" x14ac:dyDescent="0.25">
      <c r="A73" s="37" t="s">
        <v>193</v>
      </c>
      <c r="B73" t="s">
        <v>194</v>
      </c>
      <c r="C73">
        <v>19</v>
      </c>
      <c r="D73" t="s">
        <v>11</v>
      </c>
      <c r="E73" t="s">
        <v>11</v>
      </c>
      <c r="F73" s="70"/>
      <c r="G73" s="3"/>
      <c r="H73" s="3"/>
      <c r="I73" s="38">
        <f t="shared" si="16"/>
        <v>2760</v>
      </c>
      <c r="J73" s="70">
        <v>438</v>
      </c>
      <c r="K73" s="3">
        <v>0</v>
      </c>
      <c r="L73" s="3">
        <v>12</v>
      </c>
      <c r="M73" s="38">
        <f t="shared" si="3"/>
        <v>450</v>
      </c>
      <c r="N73" s="70"/>
      <c r="O73" s="3"/>
      <c r="P73" s="3"/>
      <c r="Q73" s="38">
        <f t="shared" si="4"/>
        <v>-2310</v>
      </c>
      <c r="R73" s="39">
        <f t="shared" si="5"/>
        <v>-0.83695652173913049</v>
      </c>
      <c r="S73" s="67"/>
      <c r="T73" t="s">
        <v>257</v>
      </c>
      <c r="U73" t="s">
        <v>258</v>
      </c>
      <c r="V73">
        <v>68</v>
      </c>
      <c r="W73">
        <v>1411</v>
      </c>
      <c r="X73">
        <v>41</v>
      </c>
      <c r="Y73" t="s">
        <v>11</v>
      </c>
    </row>
    <row r="74" spans="1:25" x14ac:dyDescent="0.25">
      <c r="A74" s="37" t="s">
        <v>197</v>
      </c>
      <c r="B74" t="s">
        <v>198</v>
      </c>
      <c r="C74">
        <v>21</v>
      </c>
      <c r="D74" t="s">
        <v>11</v>
      </c>
      <c r="E74" t="s">
        <v>11</v>
      </c>
      <c r="F74" s="70"/>
      <c r="G74" s="3"/>
      <c r="H74" s="3"/>
      <c r="I74" s="38">
        <f t="shared" si="16"/>
        <v>4494</v>
      </c>
      <c r="J74" s="70">
        <v>3704</v>
      </c>
      <c r="K74" s="3">
        <v>18</v>
      </c>
      <c r="L74" s="3">
        <v>21</v>
      </c>
      <c r="M74" s="38">
        <f t="shared" si="3"/>
        <v>3743</v>
      </c>
      <c r="N74" s="70"/>
      <c r="O74" s="3"/>
      <c r="P74" s="3"/>
      <c r="Q74" s="38">
        <f t="shared" si="4"/>
        <v>-751</v>
      </c>
      <c r="R74" s="39">
        <f t="shared" si="5"/>
        <v>-0.16711170449488205</v>
      </c>
      <c r="S74" s="67"/>
      <c r="T74" t="s">
        <v>259</v>
      </c>
      <c r="U74" t="s">
        <v>260</v>
      </c>
      <c r="V74">
        <v>69</v>
      </c>
      <c r="W74">
        <v>2110</v>
      </c>
      <c r="X74">
        <v>42</v>
      </c>
      <c r="Y74" t="s">
        <v>11</v>
      </c>
    </row>
    <row r="75" spans="1:25" x14ac:dyDescent="0.25">
      <c r="A75" s="37" t="s">
        <v>203</v>
      </c>
      <c r="B75" t="s">
        <v>204</v>
      </c>
      <c r="C75">
        <v>24</v>
      </c>
      <c r="D75" t="s">
        <v>11</v>
      </c>
      <c r="E75" t="s">
        <v>11</v>
      </c>
      <c r="F75" s="70"/>
      <c r="G75" s="3"/>
      <c r="H75" s="3"/>
      <c r="I75" s="38">
        <f t="shared" si="16"/>
        <v>2211</v>
      </c>
      <c r="J75" s="70">
        <v>4464</v>
      </c>
      <c r="K75" s="3">
        <v>47</v>
      </c>
      <c r="L75" s="3">
        <v>126</v>
      </c>
      <c r="M75" s="38">
        <f t="shared" si="3"/>
        <v>4637</v>
      </c>
      <c r="N75" s="70"/>
      <c r="O75" s="3"/>
      <c r="P75" s="3"/>
      <c r="Q75" s="38">
        <f t="shared" si="4"/>
        <v>2426</v>
      </c>
      <c r="R75" s="39">
        <f t="shared" si="5"/>
        <v>1.097241067390321</v>
      </c>
      <c r="S75" s="67"/>
      <c r="T75" t="s">
        <v>261</v>
      </c>
      <c r="U75" t="s">
        <v>262</v>
      </c>
      <c r="V75">
        <v>70</v>
      </c>
      <c r="W75">
        <v>335</v>
      </c>
      <c r="X75">
        <v>43</v>
      </c>
      <c r="Y75" t="s">
        <v>11</v>
      </c>
    </row>
    <row r="76" spans="1:25" x14ac:dyDescent="0.25">
      <c r="A76" s="37" t="s">
        <v>207</v>
      </c>
      <c r="B76" t="s">
        <v>208</v>
      </c>
      <c r="C76">
        <v>26</v>
      </c>
      <c r="D76" t="s">
        <v>11</v>
      </c>
      <c r="E76" t="s">
        <v>11</v>
      </c>
      <c r="F76" s="70"/>
      <c r="G76" s="3"/>
      <c r="H76" s="3"/>
      <c r="I76" s="38">
        <f t="shared" si="16"/>
        <v>718</v>
      </c>
      <c r="J76" s="70">
        <v>895</v>
      </c>
      <c r="K76" s="3">
        <v>1</v>
      </c>
      <c r="L76" s="3">
        <v>1</v>
      </c>
      <c r="M76" s="38">
        <f t="shared" si="3"/>
        <v>897</v>
      </c>
      <c r="N76" s="70"/>
      <c r="O76" s="3"/>
      <c r="P76" s="3"/>
      <c r="Q76" s="38">
        <f t="shared" si="4"/>
        <v>179</v>
      </c>
      <c r="R76" s="39">
        <f t="shared" si="5"/>
        <v>0.24930362116991645</v>
      </c>
      <c r="S76" s="67"/>
      <c r="T76" t="s">
        <v>263</v>
      </c>
      <c r="U76" t="s">
        <v>264</v>
      </c>
      <c r="V76">
        <v>71</v>
      </c>
      <c r="W76">
        <v>2660</v>
      </c>
      <c r="X76">
        <v>44</v>
      </c>
      <c r="Y76" t="s">
        <v>11</v>
      </c>
    </row>
    <row r="77" spans="1:25" x14ac:dyDescent="0.25">
      <c r="A77" s="37" t="s">
        <v>213</v>
      </c>
      <c r="B77" t="s">
        <v>214</v>
      </c>
      <c r="C77">
        <v>29</v>
      </c>
      <c r="D77" t="s">
        <v>11</v>
      </c>
      <c r="E77" t="s">
        <v>11</v>
      </c>
      <c r="F77" s="70"/>
      <c r="G77" s="3"/>
      <c r="H77" s="3"/>
      <c r="I77" s="38">
        <f t="shared" si="16"/>
        <v>1251</v>
      </c>
      <c r="J77" s="70">
        <v>218</v>
      </c>
      <c r="K77" s="3">
        <v>4</v>
      </c>
      <c r="L77" s="3">
        <v>3</v>
      </c>
      <c r="M77" s="38">
        <f t="shared" si="3"/>
        <v>225</v>
      </c>
      <c r="N77" s="70"/>
      <c r="O77" s="3"/>
      <c r="P77" s="3"/>
      <c r="Q77" s="38">
        <f t="shared" si="4"/>
        <v>-1026</v>
      </c>
      <c r="R77" s="39">
        <f t="shared" si="5"/>
        <v>-0.82014388489208634</v>
      </c>
      <c r="S77" s="67"/>
      <c r="T77" t="s">
        <v>265</v>
      </c>
      <c r="U77" t="s">
        <v>266</v>
      </c>
      <c r="V77">
        <v>72</v>
      </c>
      <c r="W77">
        <v>1926</v>
      </c>
      <c r="X77">
        <v>45</v>
      </c>
      <c r="Y77" t="s">
        <v>11</v>
      </c>
    </row>
    <row r="78" spans="1:25" x14ac:dyDescent="0.25">
      <c r="A78" s="37" t="s">
        <v>217</v>
      </c>
      <c r="B78" t="s">
        <v>218</v>
      </c>
      <c r="C78">
        <v>30</v>
      </c>
      <c r="D78" t="s">
        <v>11</v>
      </c>
      <c r="E78" t="s">
        <v>11</v>
      </c>
      <c r="F78" s="70"/>
      <c r="G78" s="3"/>
      <c r="H78" s="3"/>
      <c r="I78" s="38">
        <f t="shared" si="16"/>
        <v>1998</v>
      </c>
      <c r="J78" s="70">
        <v>1219</v>
      </c>
      <c r="K78" s="3">
        <v>7</v>
      </c>
      <c r="L78" s="3">
        <v>15</v>
      </c>
      <c r="M78" s="38">
        <f t="shared" si="3"/>
        <v>1241</v>
      </c>
      <c r="N78" s="70"/>
      <c r="O78" s="3"/>
      <c r="P78" s="3"/>
      <c r="Q78" s="38">
        <f t="shared" si="4"/>
        <v>-757</v>
      </c>
      <c r="R78" s="39">
        <f t="shared" si="5"/>
        <v>-0.37887887887887889</v>
      </c>
      <c r="S78" s="67"/>
      <c r="T78" t="s">
        <v>267</v>
      </c>
      <c r="U78" t="s">
        <v>673</v>
      </c>
      <c r="V78">
        <v>73</v>
      </c>
      <c r="W78">
        <v>4466</v>
      </c>
      <c r="X78">
        <v>47</v>
      </c>
      <c r="Y78" t="s">
        <v>11</v>
      </c>
    </row>
    <row r="79" spans="1:25" x14ac:dyDescent="0.25">
      <c r="A79" s="37" t="s">
        <v>221</v>
      </c>
      <c r="B79" t="s">
        <v>222</v>
      </c>
      <c r="C79">
        <v>31</v>
      </c>
      <c r="D79" t="s">
        <v>11</v>
      </c>
      <c r="E79" t="s">
        <v>11</v>
      </c>
      <c r="F79" s="70"/>
      <c r="G79" s="3"/>
      <c r="H79" s="3"/>
      <c r="I79" s="38">
        <f t="shared" si="16"/>
        <v>3724</v>
      </c>
      <c r="J79" s="70">
        <v>3027</v>
      </c>
      <c r="K79" s="3">
        <v>28</v>
      </c>
      <c r="L79" s="3">
        <v>24</v>
      </c>
      <c r="M79" s="38">
        <f t="shared" si="3"/>
        <v>3079</v>
      </c>
      <c r="N79" s="70"/>
      <c r="O79" s="3"/>
      <c r="P79" s="3"/>
      <c r="Q79" s="38">
        <f t="shared" si="4"/>
        <v>-645</v>
      </c>
      <c r="R79" s="39">
        <f t="shared" si="5"/>
        <v>-0.17320085929108486</v>
      </c>
      <c r="S79" s="67"/>
      <c r="T79" t="s">
        <v>269</v>
      </c>
      <c r="U79" t="s">
        <v>270</v>
      </c>
      <c r="V79">
        <v>74</v>
      </c>
      <c r="W79">
        <v>927</v>
      </c>
      <c r="X79">
        <v>50</v>
      </c>
      <c r="Y79" t="s">
        <v>11</v>
      </c>
    </row>
    <row r="80" spans="1:25" x14ac:dyDescent="0.25">
      <c r="A80" s="37" t="s">
        <v>227</v>
      </c>
      <c r="B80" t="s">
        <v>228</v>
      </c>
      <c r="C80">
        <v>3233</v>
      </c>
      <c r="D80" t="s">
        <v>11</v>
      </c>
      <c r="E80" t="s">
        <v>11</v>
      </c>
      <c r="F80" s="70"/>
      <c r="G80" s="3"/>
      <c r="H80" s="3"/>
      <c r="I80" s="38">
        <f t="shared" si="16"/>
        <v>0</v>
      </c>
      <c r="J80" s="70">
        <v>0</v>
      </c>
      <c r="K80" s="3">
        <v>0</v>
      </c>
      <c r="L80" s="3">
        <v>0</v>
      </c>
      <c r="M80" s="38">
        <f t="shared" si="3"/>
        <v>0</v>
      </c>
      <c r="N80" s="70"/>
      <c r="O80" s="3"/>
      <c r="P80" s="3"/>
      <c r="Q80" s="38">
        <f t="shared" si="4"/>
        <v>0</v>
      </c>
      <c r="R80" s="39" t="e">
        <f t="shared" si="5"/>
        <v>#DIV/0!</v>
      </c>
      <c r="S80" s="67"/>
      <c r="T80" t="s">
        <v>271</v>
      </c>
      <c r="U80" t="s">
        <v>272</v>
      </c>
      <c r="V80">
        <v>75</v>
      </c>
      <c r="W80">
        <v>1296</v>
      </c>
      <c r="X80">
        <v>51</v>
      </c>
      <c r="Y80" t="s">
        <v>11</v>
      </c>
    </row>
    <row r="81" spans="1:25" x14ac:dyDescent="0.25">
      <c r="A81" s="37" t="s">
        <v>231</v>
      </c>
      <c r="B81" t="s">
        <v>228</v>
      </c>
      <c r="C81">
        <v>33</v>
      </c>
      <c r="D81" t="s">
        <v>11</v>
      </c>
      <c r="E81" t="s">
        <v>11</v>
      </c>
      <c r="F81" s="70"/>
      <c r="G81" s="3"/>
      <c r="H81" s="3"/>
      <c r="I81" s="38">
        <f t="shared" si="16"/>
        <v>1344</v>
      </c>
      <c r="J81" s="70">
        <v>0</v>
      </c>
      <c r="K81" s="3">
        <v>0</v>
      </c>
      <c r="L81" s="3">
        <v>0</v>
      </c>
      <c r="M81" s="38">
        <f t="shared" si="3"/>
        <v>0</v>
      </c>
      <c r="N81" s="70"/>
      <c r="O81" s="3"/>
      <c r="P81" s="3"/>
      <c r="Q81" s="38">
        <f t="shared" si="4"/>
        <v>-1344</v>
      </c>
      <c r="R81" s="39">
        <f t="shared" si="5"/>
        <v>-1</v>
      </c>
      <c r="S81" s="67"/>
      <c r="T81" t="s">
        <v>273</v>
      </c>
      <c r="U81" t="s">
        <v>274</v>
      </c>
      <c r="V81">
        <v>76</v>
      </c>
      <c r="W81">
        <v>334</v>
      </c>
      <c r="X81">
        <v>52</v>
      </c>
      <c r="Y81" t="s">
        <v>11</v>
      </c>
    </row>
    <row r="82" spans="1:25" x14ac:dyDescent="0.25">
      <c r="A82" s="37" t="s">
        <v>234</v>
      </c>
      <c r="B82" t="s">
        <v>235</v>
      </c>
      <c r="C82">
        <v>34</v>
      </c>
      <c r="D82" t="s">
        <v>11</v>
      </c>
      <c r="E82" t="s">
        <v>11</v>
      </c>
      <c r="F82" s="70"/>
      <c r="G82" s="3"/>
      <c r="H82" s="3"/>
      <c r="I82" s="38">
        <f t="shared" si="16"/>
        <v>5091</v>
      </c>
      <c r="J82" s="70">
        <v>2718</v>
      </c>
      <c r="K82" s="3">
        <v>35</v>
      </c>
      <c r="L82" s="3">
        <v>19</v>
      </c>
      <c r="M82" s="38">
        <f t="shared" si="3"/>
        <v>2772</v>
      </c>
      <c r="N82" s="70"/>
      <c r="O82" s="3"/>
      <c r="P82" s="3"/>
      <c r="Q82" s="38">
        <f t="shared" si="4"/>
        <v>-2319</v>
      </c>
      <c r="R82" s="39">
        <f t="shared" si="5"/>
        <v>-0.45550972304066001</v>
      </c>
      <c r="S82" s="67"/>
      <c r="T82" t="s">
        <v>275</v>
      </c>
      <c r="U82" t="s">
        <v>276</v>
      </c>
      <c r="V82">
        <v>77</v>
      </c>
      <c r="W82">
        <v>80</v>
      </c>
      <c r="X82">
        <v>55</v>
      </c>
      <c r="Y82" t="s">
        <v>11</v>
      </c>
    </row>
    <row r="83" spans="1:25" x14ac:dyDescent="0.25">
      <c r="A83" s="37" t="s">
        <v>238</v>
      </c>
      <c r="B83" t="s">
        <v>239</v>
      </c>
      <c r="C83" t="s">
        <v>289</v>
      </c>
      <c r="D83" t="s">
        <v>11</v>
      </c>
      <c r="E83" t="s">
        <v>11</v>
      </c>
      <c r="F83" s="70"/>
      <c r="G83" s="3"/>
      <c r="H83" s="3"/>
      <c r="I83" s="38">
        <f t="shared" si="16"/>
        <v>0</v>
      </c>
      <c r="J83" s="70">
        <v>3476</v>
      </c>
      <c r="K83" s="3">
        <v>70</v>
      </c>
      <c r="L83" s="3">
        <v>323</v>
      </c>
      <c r="M83" s="38">
        <f t="shared" si="3"/>
        <v>3869</v>
      </c>
      <c r="N83" s="70"/>
      <c r="O83" s="3"/>
      <c r="P83" s="3"/>
      <c r="Q83" s="38">
        <f t="shared" si="4"/>
        <v>3869</v>
      </c>
      <c r="R83" s="39" t="e">
        <f t="shared" si="5"/>
        <v>#DIV/0!</v>
      </c>
      <c r="S83" s="67"/>
      <c r="T83" t="s">
        <v>174</v>
      </c>
      <c r="U83" t="s">
        <v>175</v>
      </c>
      <c r="V83">
        <v>78</v>
      </c>
      <c r="W83">
        <v>8729</v>
      </c>
      <c r="X83">
        <v>57</v>
      </c>
      <c r="Y83" t="s">
        <v>11</v>
      </c>
    </row>
    <row r="84" spans="1:25" x14ac:dyDescent="0.25">
      <c r="A84" s="37" t="s">
        <v>242</v>
      </c>
      <c r="B84" t="s">
        <v>243</v>
      </c>
      <c r="C84">
        <v>35</v>
      </c>
      <c r="D84" t="s">
        <v>11</v>
      </c>
      <c r="E84" t="s">
        <v>11</v>
      </c>
      <c r="F84" s="70"/>
      <c r="G84" s="3"/>
      <c r="H84" s="3"/>
      <c r="I84" s="38">
        <f t="shared" si="16"/>
        <v>1596</v>
      </c>
      <c r="J84" s="70">
        <v>2385</v>
      </c>
      <c r="K84" s="3">
        <v>21</v>
      </c>
      <c r="L84" s="3">
        <v>123</v>
      </c>
      <c r="M84" s="38">
        <f t="shared" si="3"/>
        <v>2529</v>
      </c>
      <c r="N84" s="70"/>
      <c r="O84" s="3"/>
      <c r="P84" s="3"/>
      <c r="Q84" s="38">
        <f t="shared" si="4"/>
        <v>933</v>
      </c>
      <c r="R84" s="39">
        <f t="shared" si="5"/>
        <v>0.58458646616541354</v>
      </c>
      <c r="S84" s="67"/>
      <c r="T84" t="s">
        <v>277</v>
      </c>
      <c r="U84" t="s">
        <v>278</v>
      </c>
      <c r="V84">
        <v>79</v>
      </c>
      <c r="W84">
        <v>990</v>
      </c>
      <c r="X84">
        <v>59</v>
      </c>
      <c r="Y84" t="s">
        <v>11</v>
      </c>
    </row>
    <row r="85" spans="1:25" x14ac:dyDescent="0.25">
      <c r="A85" s="37" t="s">
        <v>246</v>
      </c>
      <c r="B85" t="s">
        <v>247</v>
      </c>
      <c r="C85">
        <v>36</v>
      </c>
      <c r="D85" t="s">
        <v>11</v>
      </c>
      <c r="E85" t="s">
        <v>11</v>
      </c>
      <c r="F85" s="70"/>
      <c r="G85" s="3"/>
      <c r="H85" s="3"/>
      <c r="I85" s="38">
        <f t="shared" si="16"/>
        <v>2089</v>
      </c>
      <c r="J85" s="70">
        <v>2703</v>
      </c>
      <c r="K85" s="3">
        <v>31</v>
      </c>
      <c r="L85" s="3">
        <v>116</v>
      </c>
      <c r="M85" s="38">
        <f t="shared" si="3"/>
        <v>2850</v>
      </c>
      <c r="N85" s="70"/>
      <c r="O85" s="3"/>
      <c r="P85" s="3"/>
      <c r="Q85" s="38">
        <f t="shared" si="4"/>
        <v>761</v>
      </c>
      <c r="R85" s="39">
        <f t="shared" ref="R85" si="17">Q85/I85</f>
        <v>0.36428913355672571</v>
      </c>
      <c r="S85" s="67"/>
      <c r="T85" t="s">
        <v>279</v>
      </c>
      <c r="U85" t="s">
        <v>280</v>
      </c>
      <c r="V85">
        <v>80</v>
      </c>
      <c r="W85">
        <v>971</v>
      </c>
      <c r="X85">
        <v>60</v>
      </c>
      <c r="Y85" t="s">
        <v>11</v>
      </c>
    </row>
    <row r="86" spans="1:25" x14ac:dyDescent="0.25">
      <c r="A86" s="37" t="s">
        <v>250</v>
      </c>
      <c r="B86" t="s">
        <v>251</v>
      </c>
      <c r="C86">
        <v>37</v>
      </c>
      <c r="D86" t="s">
        <v>11</v>
      </c>
      <c r="E86" t="s">
        <v>11</v>
      </c>
      <c r="F86" s="70"/>
      <c r="G86" s="3"/>
      <c r="H86" s="3"/>
      <c r="I86" s="38">
        <f t="shared" si="16"/>
        <v>956</v>
      </c>
      <c r="J86" s="70">
        <v>0</v>
      </c>
      <c r="K86" s="3">
        <v>0</v>
      </c>
      <c r="L86" s="3">
        <v>0</v>
      </c>
      <c r="M86" s="38">
        <f t="shared" si="3"/>
        <v>0</v>
      </c>
      <c r="N86" s="70"/>
      <c r="O86" s="3"/>
      <c r="P86" s="3"/>
      <c r="Q86" s="38">
        <f t="shared" si="4"/>
        <v>-956</v>
      </c>
      <c r="R86" s="39">
        <f t="shared" si="5"/>
        <v>-1</v>
      </c>
      <c r="S86" s="67"/>
      <c r="T86" t="s">
        <v>281</v>
      </c>
      <c r="U86" t="s">
        <v>282</v>
      </c>
      <c r="V86">
        <v>81</v>
      </c>
      <c r="W86">
        <v>388</v>
      </c>
      <c r="X86">
        <v>61</v>
      </c>
      <c r="Y86" t="s">
        <v>11</v>
      </c>
    </row>
    <row r="87" spans="1:25" x14ac:dyDescent="0.25">
      <c r="A87" s="37" t="s">
        <v>252</v>
      </c>
      <c r="B87" t="s">
        <v>253</v>
      </c>
      <c r="C87">
        <v>38</v>
      </c>
      <c r="D87" t="s">
        <v>11</v>
      </c>
      <c r="E87" t="s">
        <v>11</v>
      </c>
      <c r="F87" s="70"/>
      <c r="G87" s="3"/>
      <c r="H87" s="3"/>
      <c r="I87" s="38">
        <f t="shared" si="16"/>
        <v>633</v>
      </c>
      <c r="J87" s="70">
        <v>1447</v>
      </c>
      <c r="K87" s="3">
        <v>13</v>
      </c>
      <c r="L87" s="3">
        <v>72</v>
      </c>
      <c r="M87" s="38">
        <f t="shared" si="3"/>
        <v>1532</v>
      </c>
      <c r="N87" s="70"/>
      <c r="O87" s="3"/>
      <c r="P87" s="3"/>
      <c r="Q87" s="38">
        <f t="shared" si="4"/>
        <v>899</v>
      </c>
      <c r="R87" s="39">
        <f t="shared" si="5"/>
        <v>1.4202211690363349</v>
      </c>
      <c r="S87" s="67"/>
      <c r="T87" t="s">
        <v>283</v>
      </c>
      <c r="U87" t="s">
        <v>284</v>
      </c>
      <c r="V87">
        <v>82</v>
      </c>
      <c r="W87">
        <v>745</v>
      </c>
      <c r="X87">
        <v>62</v>
      </c>
      <c r="Y87" t="s">
        <v>11</v>
      </c>
    </row>
    <row r="88" spans="1:25" x14ac:dyDescent="0.25">
      <c r="A88" s="37" t="s">
        <v>254</v>
      </c>
      <c r="B88" t="s">
        <v>255</v>
      </c>
      <c r="C88">
        <v>40</v>
      </c>
      <c r="D88" t="s">
        <v>11</v>
      </c>
      <c r="E88" t="s">
        <v>11</v>
      </c>
      <c r="F88" s="70"/>
      <c r="G88" s="3"/>
      <c r="H88" s="3"/>
      <c r="I88" s="38">
        <f t="shared" si="16"/>
        <v>1182</v>
      </c>
      <c r="J88" s="70">
        <v>1354</v>
      </c>
      <c r="K88" s="3">
        <v>7</v>
      </c>
      <c r="L88" s="3">
        <v>5</v>
      </c>
      <c r="M88" s="38">
        <f t="shared" ref="M88:M142" si="18">SUM(J88:L88)</f>
        <v>1366</v>
      </c>
      <c r="N88" s="70"/>
      <c r="O88" s="3"/>
      <c r="P88" s="3"/>
      <c r="Q88" s="38">
        <f t="shared" si="4"/>
        <v>184</v>
      </c>
      <c r="R88" s="39">
        <f t="shared" si="5"/>
        <v>0.155668358714044</v>
      </c>
      <c r="S88" s="67"/>
      <c r="T88" t="s">
        <v>285</v>
      </c>
      <c r="U88" t="s">
        <v>286</v>
      </c>
      <c r="V88">
        <v>82</v>
      </c>
      <c r="W88">
        <v>0</v>
      </c>
      <c r="X88">
        <v>6276</v>
      </c>
      <c r="Y88" t="s">
        <v>11</v>
      </c>
    </row>
    <row r="89" spans="1:25" x14ac:dyDescent="0.25">
      <c r="A89" s="37" t="s">
        <v>256</v>
      </c>
      <c r="B89" t="s">
        <v>255</v>
      </c>
      <c r="C89">
        <v>4050</v>
      </c>
      <c r="D89" t="s">
        <v>11</v>
      </c>
      <c r="E89" t="s">
        <v>11</v>
      </c>
      <c r="F89" s="70"/>
      <c r="G89" s="3"/>
      <c r="H89" s="3"/>
      <c r="I89" s="38">
        <f t="shared" si="16"/>
        <v>0</v>
      </c>
      <c r="J89" s="70">
        <v>0</v>
      </c>
      <c r="K89" s="3">
        <v>0</v>
      </c>
      <c r="L89" s="3">
        <v>0</v>
      </c>
      <c r="M89" s="38">
        <f t="shared" si="18"/>
        <v>0</v>
      </c>
      <c r="N89" s="70"/>
      <c r="O89" s="3"/>
      <c r="P89" s="3"/>
      <c r="Q89" s="38">
        <f t="shared" si="4"/>
        <v>0</v>
      </c>
      <c r="R89" s="39" t="e">
        <f t="shared" si="5"/>
        <v>#DIV/0!</v>
      </c>
      <c r="S89" s="67"/>
      <c r="T89" t="s">
        <v>287</v>
      </c>
      <c r="U89" t="s">
        <v>288</v>
      </c>
      <c r="V89">
        <v>84</v>
      </c>
      <c r="W89">
        <v>1488</v>
      </c>
      <c r="X89">
        <v>64</v>
      </c>
      <c r="Y89" t="s">
        <v>11</v>
      </c>
    </row>
    <row r="90" spans="1:25" x14ac:dyDescent="0.25">
      <c r="A90" s="37" t="s">
        <v>257</v>
      </c>
      <c r="B90" t="s">
        <v>258</v>
      </c>
      <c r="C90">
        <v>41</v>
      </c>
      <c r="D90" t="s">
        <v>11</v>
      </c>
      <c r="E90" t="s">
        <v>11</v>
      </c>
      <c r="F90" s="70"/>
      <c r="G90" s="3"/>
      <c r="H90" s="3"/>
      <c r="I90" s="38">
        <f t="shared" si="16"/>
        <v>1411</v>
      </c>
      <c r="J90" s="70">
        <v>1176</v>
      </c>
      <c r="K90" s="3">
        <v>3</v>
      </c>
      <c r="L90" s="3">
        <v>0</v>
      </c>
      <c r="M90" s="38">
        <f t="shared" si="18"/>
        <v>1179</v>
      </c>
      <c r="N90" s="70"/>
      <c r="O90" s="3"/>
      <c r="P90" s="3"/>
      <c r="Q90" s="38">
        <f t="shared" ref="Q90:Q143" si="19">M90-I90</f>
        <v>-232</v>
      </c>
      <c r="R90" s="39">
        <f t="shared" ref="R90:R143" si="20">Q90/I90</f>
        <v>-0.16442239546420978</v>
      </c>
      <c r="S90" s="67"/>
      <c r="T90" t="s">
        <v>290</v>
      </c>
      <c r="U90" t="s">
        <v>291</v>
      </c>
      <c r="V90">
        <v>85</v>
      </c>
      <c r="W90">
        <v>2531</v>
      </c>
      <c r="X90">
        <v>65</v>
      </c>
      <c r="Y90" t="s">
        <v>11</v>
      </c>
    </row>
    <row r="91" spans="1:25" x14ac:dyDescent="0.25">
      <c r="A91" s="37" t="s">
        <v>259</v>
      </c>
      <c r="B91" t="s">
        <v>260</v>
      </c>
      <c r="C91">
        <v>42</v>
      </c>
      <c r="D91" t="s">
        <v>11</v>
      </c>
      <c r="E91" t="s">
        <v>11</v>
      </c>
      <c r="F91" s="70"/>
      <c r="G91" s="3"/>
      <c r="H91" s="3"/>
      <c r="I91" s="38">
        <f t="shared" si="16"/>
        <v>2110</v>
      </c>
      <c r="J91" s="70">
        <v>4317</v>
      </c>
      <c r="K91" s="3">
        <v>11</v>
      </c>
      <c r="L91" s="3">
        <v>99</v>
      </c>
      <c r="M91" s="38">
        <f t="shared" si="18"/>
        <v>4427</v>
      </c>
      <c r="N91" s="70"/>
      <c r="O91" s="3"/>
      <c r="P91" s="3"/>
      <c r="Q91" s="38">
        <f t="shared" si="19"/>
        <v>2317</v>
      </c>
      <c r="R91" s="39">
        <f t="shared" si="20"/>
        <v>1.0981042654028437</v>
      </c>
      <c r="S91" s="67"/>
      <c r="T91" t="s">
        <v>178</v>
      </c>
      <c r="U91" t="s">
        <v>150</v>
      </c>
      <c r="V91">
        <v>86</v>
      </c>
      <c r="W91">
        <v>12820</v>
      </c>
      <c r="X91">
        <v>66</v>
      </c>
      <c r="Y91" t="s">
        <v>11</v>
      </c>
    </row>
    <row r="92" spans="1:25" x14ac:dyDescent="0.25">
      <c r="A92" s="37" t="s">
        <v>261</v>
      </c>
      <c r="B92" t="s">
        <v>262</v>
      </c>
      <c r="C92">
        <v>43</v>
      </c>
      <c r="D92" t="s">
        <v>11</v>
      </c>
      <c r="E92" t="s">
        <v>11</v>
      </c>
      <c r="F92" s="70"/>
      <c r="G92" s="3"/>
      <c r="H92" s="3"/>
      <c r="I92" s="38">
        <f t="shared" si="16"/>
        <v>335</v>
      </c>
      <c r="J92" s="70">
        <v>1045</v>
      </c>
      <c r="K92" s="3">
        <v>5</v>
      </c>
      <c r="L92" s="3">
        <v>1</v>
      </c>
      <c r="M92" s="38">
        <f t="shared" si="18"/>
        <v>1051</v>
      </c>
      <c r="N92" s="70"/>
      <c r="O92" s="3"/>
      <c r="P92" s="3"/>
      <c r="Q92" s="38">
        <f t="shared" si="19"/>
        <v>716</v>
      </c>
      <c r="R92" s="39">
        <f t="shared" si="20"/>
        <v>2.1373134328358208</v>
      </c>
      <c r="S92" s="67"/>
      <c r="T92" t="s">
        <v>292</v>
      </c>
      <c r="U92" t="s">
        <v>293</v>
      </c>
      <c r="V92">
        <v>87</v>
      </c>
      <c r="W92">
        <v>341</v>
      </c>
      <c r="X92">
        <v>67</v>
      </c>
      <c r="Y92" t="s">
        <v>11</v>
      </c>
    </row>
    <row r="93" spans="1:25" x14ac:dyDescent="0.25">
      <c r="A93" s="37" t="s">
        <v>263</v>
      </c>
      <c r="B93" t="s">
        <v>264</v>
      </c>
      <c r="C93">
        <v>44</v>
      </c>
      <c r="D93" t="s">
        <v>11</v>
      </c>
      <c r="E93" t="s">
        <v>11</v>
      </c>
      <c r="F93" s="70"/>
      <c r="G93" s="3"/>
      <c r="H93" s="3"/>
      <c r="I93" s="38">
        <f t="shared" si="16"/>
        <v>2660</v>
      </c>
      <c r="J93" s="70">
        <v>1373</v>
      </c>
      <c r="K93" s="3">
        <v>4</v>
      </c>
      <c r="L93" s="3">
        <v>0</v>
      </c>
      <c r="M93" s="38">
        <f t="shared" si="18"/>
        <v>1377</v>
      </c>
      <c r="N93" s="70"/>
      <c r="O93" s="3"/>
      <c r="P93" s="3"/>
      <c r="Q93" s="38">
        <f t="shared" si="19"/>
        <v>-1283</v>
      </c>
      <c r="R93" s="39">
        <f t="shared" si="20"/>
        <v>-0.48233082706766917</v>
      </c>
      <c r="S93" s="67"/>
      <c r="T93" t="s">
        <v>294</v>
      </c>
      <c r="U93" t="s">
        <v>295</v>
      </c>
      <c r="V93">
        <v>88</v>
      </c>
      <c r="W93">
        <v>381</v>
      </c>
      <c r="X93">
        <v>68</v>
      </c>
      <c r="Y93" t="s">
        <v>11</v>
      </c>
    </row>
    <row r="94" spans="1:25" x14ac:dyDescent="0.25">
      <c r="A94" s="37" t="s">
        <v>265</v>
      </c>
      <c r="B94" t="s">
        <v>266</v>
      </c>
      <c r="C94">
        <v>45</v>
      </c>
      <c r="D94" t="s">
        <v>11</v>
      </c>
      <c r="E94" t="s">
        <v>11</v>
      </c>
      <c r="F94" s="70"/>
      <c r="G94" s="3"/>
      <c r="H94" s="3"/>
      <c r="I94" s="38">
        <f t="shared" si="16"/>
        <v>1926</v>
      </c>
      <c r="J94" s="70">
        <v>159</v>
      </c>
      <c r="K94" s="3">
        <v>1</v>
      </c>
      <c r="L94" s="3">
        <v>1</v>
      </c>
      <c r="M94" s="38">
        <f t="shared" si="18"/>
        <v>161</v>
      </c>
      <c r="N94" s="70"/>
      <c r="O94" s="3"/>
      <c r="P94" s="3"/>
      <c r="Q94" s="38">
        <f t="shared" si="19"/>
        <v>-1765</v>
      </c>
      <c r="R94" s="39">
        <f t="shared" si="20"/>
        <v>-0.91640706126687432</v>
      </c>
      <c r="S94" s="67"/>
      <c r="T94" t="s">
        <v>296</v>
      </c>
      <c r="U94" t="s">
        <v>297</v>
      </c>
      <c r="V94">
        <v>89</v>
      </c>
      <c r="W94">
        <v>2173</v>
      </c>
      <c r="X94">
        <v>69</v>
      </c>
      <c r="Y94" t="s">
        <v>11</v>
      </c>
    </row>
    <row r="95" spans="1:25" x14ac:dyDescent="0.25">
      <c r="A95" s="37" t="s">
        <v>267</v>
      </c>
      <c r="B95" t="s">
        <v>268</v>
      </c>
      <c r="C95">
        <v>47</v>
      </c>
      <c r="D95" t="s">
        <v>11</v>
      </c>
      <c r="E95" t="s">
        <v>11</v>
      </c>
      <c r="F95" s="70"/>
      <c r="G95" s="3"/>
      <c r="H95" s="3"/>
      <c r="I95" s="38">
        <f t="shared" si="16"/>
        <v>4466</v>
      </c>
      <c r="J95" s="70">
        <v>7162</v>
      </c>
      <c r="K95" s="3">
        <v>35</v>
      </c>
      <c r="L95" s="3">
        <v>36</v>
      </c>
      <c r="M95" s="38">
        <f t="shared" si="18"/>
        <v>7233</v>
      </c>
      <c r="N95" s="70"/>
      <c r="O95" s="3"/>
      <c r="P95" s="3"/>
      <c r="Q95" s="38">
        <f t="shared" si="19"/>
        <v>2767</v>
      </c>
      <c r="R95" s="39">
        <f t="shared" si="20"/>
        <v>0.61957008508732647</v>
      </c>
      <c r="S95" s="67"/>
      <c r="T95" t="s">
        <v>298</v>
      </c>
      <c r="U95" t="s">
        <v>299</v>
      </c>
      <c r="V95">
        <v>90</v>
      </c>
      <c r="W95">
        <v>5274</v>
      </c>
      <c r="X95">
        <v>70</v>
      </c>
      <c r="Y95" t="s">
        <v>11</v>
      </c>
    </row>
    <row r="96" spans="1:25" x14ac:dyDescent="0.25">
      <c r="A96" s="37" t="s">
        <v>269</v>
      </c>
      <c r="B96" t="s">
        <v>270</v>
      </c>
      <c r="C96">
        <v>50</v>
      </c>
      <c r="D96" t="s">
        <v>11</v>
      </c>
      <c r="E96" t="s">
        <v>11</v>
      </c>
      <c r="F96" s="70"/>
      <c r="G96" s="3"/>
      <c r="H96" s="3"/>
      <c r="I96" s="38">
        <f t="shared" si="16"/>
        <v>927</v>
      </c>
      <c r="J96" s="70">
        <v>2598</v>
      </c>
      <c r="K96" s="3">
        <v>26</v>
      </c>
      <c r="L96" s="3">
        <v>55</v>
      </c>
      <c r="M96" s="38">
        <f t="shared" si="18"/>
        <v>2679</v>
      </c>
      <c r="N96" s="70"/>
      <c r="O96" s="3"/>
      <c r="P96" s="3"/>
      <c r="Q96" s="38">
        <f t="shared" si="19"/>
        <v>1752</v>
      </c>
      <c r="R96" s="39">
        <f t="shared" si="20"/>
        <v>1.889967637540453</v>
      </c>
      <c r="S96" s="67"/>
      <c r="T96" t="s">
        <v>179</v>
      </c>
      <c r="U96" t="s">
        <v>180</v>
      </c>
      <c r="V96">
        <v>91</v>
      </c>
      <c r="W96">
        <v>2463</v>
      </c>
      <c r="X96">
        <v>71</v>
      </c>
      <c r="Y96" t="s">
        <v>11</v>
      </c>
    </row>
    <row r="97" spans="1:25" x14ac:dyDescent="0.25">
      <c r="A97" s="37" t="s">
        <v>271</v>
      </c>
      <c r="B97" t="s">
        <v>272</v>
      </c>
      <c r="C97">
        <v>51</v>
      </c>
      <c r="D97" t="s">
        <v>11</v>
      </c>
      <c r="E97" t="s">
        <v>11</v>
      </c>
      <c r="F97" s="70"/>
      <c r="G97" s="3"/>
      <c r="H97" s="3"/>
      <c r="I97" s="38">
        <f t="shared" si="16"/>
        <v>1296</v>
      </c>
      <c r="J97" s="70">
        <v>1979</v>
      </c>
      <c r="K97" s="3">
        <v>29</v>
      </c>
      <c r="L97" s="3">
        <v>61</v>
      </c>
      <c r="M97" s="38">
        <f t="shared" si="18"/>
        <v>2069</v>
      </c>
      <c r="N97" s="70"/>
      <c r="O97" s="3"/>
      <c r="P97" s="3"/>
      <c r="Q97" s="38">
        <f t="shared" si="19"/>
        <v>773</v>
      </c>
      <c r="R97" s="39">
        <f t="shared" si="20"/>
        <v>0.59645061728395066</v>
      </c>
      <c r="S97" s="67"/>
      <c r="T97" t="s">
        <v>183</v>
      </c>
      <c r="U97" t="s">
        <v>184</v>
      </c>
      <c r="V97">
        <v>92</v>
      </c>
      <c r="W97">
        <v>2816</v>
      </c>
      <c r="X97">
        <v>73</v>
      </c>
      <c r="Y97" t="s">
        <v>11</v>
      </c>
    </row>
    <row r="98" spans="1:25" x14ac:dyDescent="0.25">
      <c r="A98" s="37" t="s">
        <v>273</v>
      </c>
      <c r="B98" t="s">
        <v>274</v>
      </c>
      <c r="C98">
        <v>52</v>
      </c>
      <c r="D98" t="s">
        <v>11</v>
      </c>
      <c r="E98" t="s">
        <v>11</v>
      </c>
      <c r="F98" s="70"/>
      <c r="G98" s="3"/>
      <c r="H98" s="3"/>
      <c r="I98" s="38">
        <f t="shared" si="16"/>
        <v>334</v>
      </c>
      <c r="J98" s="70">
        <v>1055</v>
      </c>
      <c r="K98" s="3">
        <v>12</v>
      </c>
      <c r="L98" s="3">
        <v>24</v>
      </c>
      <c r="M98" s="38">
        <f t="shared" si="18"/>
        <v>1091</v>
      </c>
      <c r="N98" s="70"/>
      <c r="O98" s="3"/>
      <c r="P98" s="3"/>
      <c r="Q98" s="38">
        <f t="shared" si="19"/>
        <v>757</v>
      </c>
      <c r="R98" s="39">
        <f t="shared" si="20"/>
        <v>2.2664670658682633</v>
      </c>
      <c r="S98" s="67"/>
      <c r="T98" t="s">
        <v>300</v>
      </c>
      <c r="U98" t="s">
        <v>301</v>
      </c>
      <c r="V98">
        <v>93</v>
      </c>
      <c r="W98">
        <v>1064</v>
      </c>
      <c r="X98">
        <v>74</v>
      </c>
      <c r="Y98" t="s">
        <v>11</v>
      </c>
    </row>
    <row r="99" spans="1:25" x14ac:dyDescent="0.25">
      <c r="A99" s="37" t="s">
        <v>275</v>
      </c>
      <c r="B99" t="s">
        <v>276</v>
      </c>
      <c r="C99">
        <v>55</v>
      </c>
      <c r="D99" t="s">
        <v>11</v>
      </c>
      <c r="E99" t="s">
        <v>11</v>
      </c>
      <c r="F99" s="70"/>
      <c r="G99" s="3"/>
      <c r="H99" s="3"/>
      <c r="I99" s="38">
        <f t="shared" si="16"/>
        <v>80</v>
      </c>
      <c r="J99" s="70">
        <v>1112</v>
      </c>
      <c r="K99" s="3">
        <v>3</v>
      </c>
      <c r="L99" s="3">
        <v>1</v>
      </c>
      <c r="M99" s="38">
        <f t="shared" si="18"/>
        <v>1116</v>
      </c>
      <c r="N99" s="70"/>
      <c r="O99" s="3"/>
      <c r="P99" s="3"/>
      <c r="Q99" s="38">
        <f t="shared" si="19"/>
        <v>1036</v>
      </c>
      <c r="R99" s="39">
        <f t="shared" si="20"/>
        <v>12.95</v>
      </c>
      <c r="S99" s="67"/>
      <c r="T99" t="s">
        <v>302</v>
      </c>
      <c r="U99" t="s">
        <v>303</v>
      </c>
      <c r="V99">
        <v>94</v>
      </c>
      <c r="W99">
        <v>970</v>
      </c>
      <c r="X99">
        <v>75</v>
      </c>
      <c r="Y99" t="s">
        <v>11</v>
      </c>
    </row>
    <row r="100" spans="1:25" x14ac:dyDescent="0.25">
      <c r="A100" s="37" t="s">
        <v>277</v>
      </c>
      <c r="B100" t="s">
        <v>278</v>
      </c>
      <c r="C100">
        <v>59</v>
      </c>
      <c r="D100" t="s">
        <v>11</v>
      </c>
      <c r="E100" t="s">
        <v>11</v>
      </c>
      <c r="F100" s="70"/>
      <c r="G100" s="3"/>
      <c r="H100" s="3"/>
      <c r="I100" s="38">
        <f t="shared" si="16"/>
        <v>990</v>
      </c>
      <c r="J100" s="70">
        <v>1163</v>
      </c>
      <c r="K100" s="3">
        <v>33</v>
      </c>
      <c r="L100" s="3">
        <v>123</v>
      </c>
      <c r="M100" s="38">
        <f t="shared" si="18"/>
        <v>1319</v>
      </c>
      <c r="N100" s="70"/>
      <c r="O100" s="3"/>
      <c r="P100" s="3"/>
      <c r="Q100" s="38">
        <f t="shared" si="19"/>
        <v>329</v>
      </c>
      <c r="R100" s="39">
        <f t="shared" si="20"/>
        <v>0.3323232323232323</v>
      </c>
      <c r="S100" s="67"/>
      <c r="T100" t="s">
        <v>304</v>
      </c>
      <c r="U100" t="s">
        <v>305</v>
      </c>
      <c r="V100">
        <v>82</v>
      </c>
      <c r="W100">
        <v>282</v>
      </c>
      <c r="X100">
        <v>76</v>
      </c>
      <c r="Y100" t="s">
        <v>11</v>
      </c>
    </row>
    <row r="101" spans="1:25" x14ac:dyDescent="0.25">
      <c r="A101" s="37" t="s">
        <v>279</v>
      </c>
      <c r="B101" t="s">
        <v>280</v>
      </c>
      <c r="C101">
        <v>60</v>
      </c>
      <c r="D101" t="s">
        <v>11</v>
      </c>
      <c r="E101" t="s">
        <v>11</v>
      </c>
      <c r="F101" s="70"/>
      <c r="G101" s="3"/>
      <c r="H101" s="3"/>
      <c r="I101" s="38">
        <f t="shared" si="16"/>
        <v>971</v>
      </c>
      <c r="J101" s="70">
        <v>2050</v>
      </c>
      <c r="K101" s="3">
        <v>15</v>
      </c>
      <c r="L101" s="3">
        <v>41</v>
      </c>
      <c r="M101" s="38">
        <f t="shared" si="18"/>
        <v>2106</v>
      </c>
      <c r="N101" s="70"/>
      <c r="O101" s="3"/>
      <c r="P101" s="3"/>
      <c r="Q101" s="38">
        <f t="shared" si="19"/>
        <v>1135</v>
      </c>
      <c r="R101" s="39">
        <f t="shared" si="20"/>
        <v>1.168898043254377</v>
      </c>
      <c r="S101" s="67"/>
      <c r="T101" t="s">
        <v>187</v>
      </c>
      <c r="U101" t="s">
        <v>188</v>
      </c>
      <c r="V101">
        <v>96</v>
      </c>
      <c r="W101">
        <v>4927</v>
      </c>
      <c r="X101">
        <v>77</v>
      </c>
      <c r="Y101" t="s">
        <v>11</v>
      </c>
    </row>
    <row r="102" spans="1:25" x14ac:dyDescent="0.25">
      <c r="A102" s="37" t="s">
        <v>281</v>
      </c>
      <c r="B102" t="s">
        <v>282</v>
      </c>
      <c r="C102">
        <v>61</v>
      </c>
      <c r="D102" t="s">
        <v>11</v>
      </c>
      <c r="E102" t="s">
        <v>11</v>
      </c>
      <c r="F102" s="70"/>
      <c r="G102" s="3"/>
      <c r="H102" s="3"/>
      <c r="I102" s="38">
        <f t="shared" si="16"/>
        <v>388</v>
      </c>
      <c r="J102" s="70">
        <v>322</v>
      </c>
      <c r="K102" s="3">
        <v>16</v>
      </c>
      <c r="L102" s="3">
        <v>12</v>
      </c>
      <c r="M102" s="38">
        <f t="shared" si="18"/>
        <v>350</v>
      </c>
      <c r="N102" s="70"/>
      <c r="O102" s="3"/>
      <c r="P102" s="3"/>
      <c r="Q102" s="38">
        <f t="shared" si="19"/>
        <v>-38</v>
      </c>
      <c r="R102" s="39">
        <f t="shared" si="20"/>
        <v>-9.7938144329896906E-2</v>
      </c>
      <c r="S102" s="67"/>
      <c r="T102" t="s">
        <v>306</v>
      </c>
      <c r="U102" t="s">
        <v>307</v>
      </c>
      <c r="V102">
        <v>97</v>
      </c>
      <c r="W102">
        <v>1173</v>
      </c>
      <c r="X102">
        <v>78</v>
      </c>
      <c r="Y102" t="s">
        <v>11</v>
      </c>
    </row>
    <row r="103" spans="1:25" x14ac:dyDescent="0.25">
      <c r="A103" s="37" t="s">
        <v>283</v>
      </c>
      <c r="B103" t="s">
        <v>284</v>
      </c>
      <c r="C103">
        <v>62</v>
      </c>
      <c r="D103" t="s">
        <v>11</v>
      </c>
      <c r="E103" t="s">
        <v>11</v>
      </c>
      <c r="F103" s="70"/>
      <c r="G103" s="3"/>
      <c r="H103" s="3"/>
      <c r="I103" s="38">
        <f t="shared" si="16"/>
        <v>745</v>
      </c>
      <c r="J103" s="70">
        <v>1260</v>
      </c>
      <c r="K103" s="3">
        <v>41</v>
      </c>
      <c r="L103" s="3">
        <v>6</v>
      </c>
      <c r="M103" s="38">
        <f t="shared" si="18"/>
        <v>1307</v>
      </c>
      <c r="N103" s="70"/>
      <c r="O103" s="3"/>
      <c r="P103" s="3"/>
      <c r="Q103" s="38">
        <f t="shared" si="19"/>
        <v>562</v>
      </c>
      <c r="R103" s="39">
        <f t="shared" si="20"/>
        <v>0.75436241610738253</v>
      </c>
      <c r="S103" s="67"/>
      <c r="T103" t="s">
        <v>308</v>
      </c>
      <c r="U103" t="s">
        <v>309</v>
      </c>
      <c r="V103">
        <v>98</v>
      </c>
      <c r="W103">
        <v>645</v>
      </c>
      <c r="X103">
        <v>80</v>
      </c>
      <c r="Y103" t="s">
        <v>11</v>
      </c>
    </row>
    <row r="104" spans="1:25" x14ac:dyDescent="0.25">
      <c r="A104" s="37" t="s">
        <v>285</v>
      </c>
      <c r="B104" t="s">
        <v>286</v>
      </c>
      <c r="C104">
        <v>627</v>
      </c>
      <c r="D104" t="s">
        <v>11</v>
      </c>
      <c r="E104" t="s">
        <v>11</v>
      </c>
      <c r="F104" s="70"/>
      <c r="G104" s="3"/>
      <c r="H104" s="3"/>
      <c r="I104" s="38">
        <f t="shared" si="16"/>
        <v>0</v>
      </c>
      <c r="J104" s="70">
        <v>0</v>
      </c>
      <c r="K104" s="3">
        <v>0</v>
      </c>
      <c r="L104" s="3">
        <v>0</v>
      </c>
      <c r="M104" s="38">
        <f t="shared" si="18"/>
        <v>0</v>
      </c>
      <c r="N104" s="70"/>
      <c r="O104" s="3"/>
      <c r="P104" s="3"/>
      <c r="Q104" s="38">
        <f t="shared" si="19"/>
        <v>0</v>
      </c>
      <c r="R104" s="39" t="e">
        <f t="shared" si="20"/>
        <v>#DIV/0!</v>
      </c>
      <c r="S104" s="67"/>
      <c r="T104" t="s">
        <v>310</v>
      </c>
      <c r="U104" t="s">
        <v>674</v>
      </c>
      <c r="V104">
        <v>99</v>
      </c>
      <c r="W104">
        <v>1139</v>
      </c>
      <c r="X104">
        <v>83</v>
      </c>
      <c r="Y104" t="s">
        <v>11</v>
      </c>
    </row>
    <row r="105" spans="1:25" x14ac:dyDescent="0.25">
      <c r="A105" s="37" t="s">
        <v>287</v>
      </c>
      <c r="B105" t="s">
        <v>288</v>
      </c>
      <c r="C105">
        <v>64</v>
      </c>
      <c r="D105" t="s">
        <v>11</v>
      </c>
      <c r="E105" t="s">
        <v>11</v>
      </c>
      <c r="F105" s="70"/>
      <c r="G105" s="3"/>
      <c r="H105" s="3"/>
      <c r="I105" s="38">
        <f t="shared" si="16"/>
        <v>1488</v>
      </c>
      <c r="J105" s="70">
        <v>1914</v>
      </c>
      <c r="K105" s="3">
        <v>20</v>
      </c>
      <c r="L105" s="3">
        <v>16</v>
      </c>
      <c r="M105" s="38">
        <f t="shared" si="18"/>
        <v>1950</v>
      </c>
      <c r="N105" s="70"/>
      <c r="O105" s="3"/>
      <c r="P105" s="3"/>
      <c r="Q105" s="38">
        <f t="shared" si="19"/>
        <v>462</v>
      </c>
      <c r="R105" s="39">
        <f t="shared" si="20"/>
        <v>0.31048387096774194</v>
      </c>
      <c r="S105" s="67"/>
      <c r="T105" t="s">
        <v>312</v>
      </c>
      <c r="U105" t="s">
        <v>313</v>
      </c>
      <c r="V105">
        <v>100</v>
      </c>
      <c r="W105">
        <v>195</v>
      </c>
      <c r="X105">
        <v>85</v>
      </c>
      <c r="Y105" t="s">
        <v>11</v>
      </c>
    </row>
    <row r="106" spans="1:25" x14ac:dyDescent="0.25">
      <c r="A106" s="37" t="s">
        <v>290</v>
      </c>
      <c r="B106" t="s">
        <v>291</v>
      </c>
      <c r="C106">
        <v>65</v>
      </c>
      <c r="D106" t="s">
        <v>11</v>
      </c>
      <c r="E106" t="s">
        <v>11</v>
      </c>
      <c r="F106" s="70"/>
      <c r="G106" s="3"/>
      <c r="H106" s="3"/>
      <c r="I106" s="38">
        <f t="shared" si="16"/>
        <v>2531</v>
      </c>
      <c r="J106" s="70">
        <v>4646</v>
      </c>
      <c r="K106" s="3">
        <v>11</v>
      </c>
      <c r="L106" s="3">
        <v>80</v>
      </c>
      <c r="M106" s="38">
        <f t="shared" si="18"/>
        <v>4737</v>
      </c>
      <c r="N106" s="70"/>
      <c r="O106" s="3"/>
      <c r="P106" s="3"/>
      <c r="Q106" s="38">
        <f t="shared" si="19"/>
        <v>2206</v>
      </c>
      <c r="R106" s="39">
        <f t="shared" si="20"/>
        <v>0.87159225602528645</v>
      </c>
      <c r="S106" s="67"/>
      <c r="T106" t="s">
        <v>314</v>
      </c>
      <c r="U106" t="s">
        <v>315</v>
      </c>
      <c r="V106">
        <v>101</v>
      </c>
      <c r="W106">
        <v>5666</v>
      </c>
      <c r="X106">
        <v>86</v>
      </c>
      <c r="Y106" t="s">
        <v>11</v>
      </c>
    </row>
    <row r="107" spans="1:25" x14ac:dyDescent="0.25">
      <c r="A107" s="37" t="s">
        <v>292</v>
      </c>
      <c r="B107" t="s">
        <v>293</v>
      </c>
      <c r="C107">
        <v>67</v>
      </c>
      <c r="D107" t="s">
        <v>11</v>
      </c>
      <c r="E107" t="s">
        <v>11</v>
      </c>
      <c r="F107" s="70"/>
      <c r="G107" s="3"/>
      <c r="H107" s="3"/>
      <c r="I107" s="38">
        <f t="shared" si="16"/>
        <v>341</v>
      </c>
      <c r="J107" s="70">
        <v>404</v>
      </c>
      <c r="K107" s="3">
        <v>3</v>
      </c>
      <c r="L107" s="3">
        <v>5</v>
      </c>
      <c r="M107" s="38">
        <f t="shared" si="18"/>
        <v>412</v>
      </c>
      <c r="N107" s="70"/>
      <c r="O107" s="3"/>
      <c r="P107" s="3"/>
      <c r="Q107" s="38">
        <f t="shared" si="19"/>
        <v>71</v>
      </c>
      <c r="R107" s="39">
        <f t="shared" si="20"/>
        <v>0.20821114369501467</v>
      </c>
      <c r="S107" s="67"/>
      <c r="T107" t="s">
        <v>316</v>
      </c>
      <c r="U107" t="s">
        <v>317</v>
      </c>
      <c r="V107">
        <v>102</v>
      </c>
      <c r="W107">
        <v>2394</v>
      </c>
      <c r="X107">
        <v>87</v>
      </c>
      <c r="Y107" t="s">
        <v>11</v>
      </c>
    </row>
    <row r="108" spans="1:25" x14ac:dyDescent="0.25">
      <c r="A108" s="37" t="s">
        <v>294</v>
      </c>
      <c r="B108" t="s">
        <v>295</v>
      </c>
      <c r="C108">
        <v>68</v>
      </c>
      <c r="D108" t="s">
        <v>11</v>
      </c>
      <c r="E108" t="s">
        <v>11</v>
      </c>
      <c r="F108" s="70"/>
      <c r="G108" s="3"/>
      <c r="H108" s="3"/>
      <c r="I108" s="38">
        <f t="shared" si="16"/>
        <v>381</v>
      </c>
      <c r="J108" s="70">
        <v>567</v>
      </c>
      <c r="K108" s="3">
        <v>1</v>
      </c>
      <c r="L108" s="3">
        <v>12</v>
      </c>
      <c r="M108" s="38">
        <f t="shared" si="18"/>
        <v>580</v>
      </c>
      <c r="N108" s="70"/>
      <c r="O108" s="3"/>
      <c r="P108" s="3"/>
      <c r="Q108" s="38">
        <f t="shared" si="19"/>
        <v>199</v>
      </c>
      <c r="R108" s="39">
        <f t="shared" si="20"/>
        <v>0.52230971128608927</v>
      </c>
      <c r="S108" s="67"/>
      <c r="T108" t="s">
        <v>318</v>
      </c>
      <c r="U108" t="s">
        <v>319</v>
      </c>
      <c r="V108">
        <v>103</v>
      </c>
      <c r="W108">
        <v>1817</v>
      </c>
      <c r="X108">
        <v>88</v>
      </c>
      <c r="Y108" t="s">
        <v>11</v>
      </c>
    </row>
    <row r="109" spans="1:25" x14ac:dyDescent="0.25">
      <c r="A109" s="37" t="s">
        <v>296</v>
      </c>
      <c r="B109" t="s">
        <v>297</v>
      </c>
      <c r="C109">
        <v>69</v>
      </c>
      <c r="D109" t="s">
        <v>11</v>
      </c>
      <c r="E109" t="s">
        <v>11</v>
      </c>
      <c r="F109" s="70"/>
      <c r="G109" s="3"/>
      <c r="H109" s="3"/>
      <c r="I109" s="38">
        <f t="shared" si="16"/>
        <v>2173</v>
      </c>
      <c r="J109" s="70">
        <v>2222</v>
      </c>
      <c r="K109" s="3">
        <v>8</v>
      </c>
      <c r="L109" s="3">
        <v>9</v>
      </c>
      <c r="M109" s="38">
        <f t="shared" si="18"/>
        <v>2239</v>
      </c>
      <c r="N109" s="70"/>
      <c r="O109" s="3"/>
      <c r="P109" s="3"/>
      <c r="Q109" s="38">
        <f t="shared" si="19"/>
        <v>66</v>
      </c>
      <c r="R109" s="39">
        <f t="shared" si="20"/>
        <v>3.0372756557754257E-2</v>
      </c>
      <c r="S109" s="67"/>
      <c r="T109" t="s">
        <v>320</v>
      </c>
      <c r="U109" t="s">
        <v>321</v>
      </c>
      <c r="V109">
        <v>104</v>
      </c>
      <c r="W109">
        <v>2151</v>
      </c>
      <c r="X109">
        <v>89</v>
      </c>
      <c r="Y109" t="s">
        <v>11</v>
      </c>
    </row>
    <row r="110" spans="1:25" x14ac:dyDescent="0.25">
      <c r="A110" s="37" t="s">
        <v>298</v>
      </c>
      <c r="B110" t="s">
        <v>299</v>
      </c>
      <c r="C110">
        <v>70</v>
      </c>
      <c r="D110" t="s">
        <v>11</v>
      </c>
      <c r="E110" t="s">
        <v>11</v>
      </c>
      <c r="F110" s="70"/>
      <c r="G110" s="3"/>
      <c r="H110" s="3"/>
      <c r="I110" s="38">
        <f t="shared" si="16"/>
        <v>5274</v>
      </c>
      <c r="J110" s="70">
        <v>9718</v>
      </c>
      <c r="K110" s="3">
        <v>119</v>
      </c>
      <c r="L110" s="3">
        <v>306</v>
      </c>
      <c r="M110" s="38">
        <f t="shared" si="18"/>
        <v>10143</v>
      </c>
      <c r="N110" s="70"/>
      <c r="O110" s="3"/>
      <c r="P110" s="3"/>
      <c r="Q110" s="38">
        <f t="shared" si="19"/>
        <v>4869</v>
      </c>
      <c r="R110" s="39">
        <f t="shared" si="20"/>
        <v>0.92320819112627983</v>
      </c>
      <c r="S110" s="67"/>
      <c r="T110" t="s">
        <v>322</v>
      </c>
      <c r="U110" t="s">
        <v>323</v>
      </c>
      <c r="V110">
        <v>105</v>
      </c>
      <c r="W110">
        <v>0</v>
      </c>
      <c r="X110">
        <v>8993</v>
      </c>
      <c r="Y110" t="s">
        <v>11</v>
      </c>
    </row>
    <row r="111" spans="1:25" x14ac:dyDescent="0.25">
      <c r="A111" s="37" t="s">
        <v>300</v>
      </c>
      <c r="B111" t="s">
        <v>301</v>
      </c>
      <c r="C111">
        <v>74</v>
      </c>
      <c r="D111" t="s">
        <v>11</v>
      </c>
      <c r="E111" t="s">
        <v>11</v>
      </c>
      <c r="F111" s="70"/>
      <c r="G111" s="3"/>
      <c r="H111" s="3"/>
      <c r="I111" s="38">
        <f t="shared" si="16"/>
        <v>1064</v>
      </c>
      <c r="J111" s="70">
        <v>1856</v>
      </c>
      <c r="K111" s="3">
        <v>14</v>
      </c>
      <c r="L111" s="3">
        <v>79</v>
      </c>
      <c r="M111" s="38">
        <f t="shared" si="18"/>
        <v>1949</v>
      </c>
      <c r="N111" s="70"/>
      <c r="O111" s="3"/>
      <c r="P111" s="3"/>
      <c r="Q111" s="38">
        <f t="shared" si="19"/>
        <v>885</v>
      </c>
      <c r="R111" s="39">
        <f t="shared" si="20"/>
        <v>0.83176691729323304</v>
      </c>
      <c r="S111" s="67"/>
      <c r="T111" t="s">
        <v>324</v>
      </c>
      <c r="U111" t="s">
        <v>325</v>
      </c>
      <c r="V111">
        <v>106</v>
      </c>
      <c r="W111">
        <v>663</v>
      </c>
      <c r="X111">
        <v>90</v>
      </c>
      <c r="Y111" t="s">
        <v>11</v>
      </c>
    </row>
    <row r="112" spans="1:25" x14ac:dyDescent="0.25">
      <c r="A112" s="37" t="s">
        <v>302</v>
      </c>
      <c r="B112" t="s">
        <v>303</v>
      </c>
      <c r="C112">
        <v>75</v>
      </c>
      <c r="D112" t="s">
        <v>11</v>
      </c>
      <c r="E112" t="s">
        <v>11</v>
      </c>
      <c r="F112" s="70"/>
      <c r="G112" s="3"/>
      <c r="H112" s="3"/>
      <c r="I112" s="38">
        <f t="shared" si="16"/>
        <v>970</v>
      </c>
      <c r="J112" s="70">
        <v>1216</v>
      </c>
      <c r="K112" s="3">
        <v>12</v>
      </c>
      <c r="L112" s="3">
        <v>94</v>
      </c>
      <c r="M112" s="38">
        <f t="shared" si="18"/>
        <v>1322</v>
      </c>
      <c r="N112" s="70"/>
      <c r="O112" s="3"/>
      <c r="P112" s="3"/>
      <c r="Q112" s="38">
        <f t="shared" si="19"/>
        <v>352</v>
      </c>
      <c r="R112" s="39">
        <f t="shared" si="20"/>
        <v>0.36288659793814432</v>
      </c>
      <c r="S112" s="67"/>
      <c r="T112" t="s">
        <v>326</v>
      </c>
      <c r="U112" t="s">
        <v>675</v>
      </c>
      <c r="V112">
        <v>107</v>
      </c>
      <c r="W112">
        <v>863</v>
      </c>
      <c r="X112">
        <v>91</v>
      </c>
      <c r="Y112" t="s">
        <v>11</v>
      </c>
    </row>
    <row r="113" spans="1:25" x14ac:dyDescent="0.25">
      <c r="A113" s="37" t="s">
        <v>304</v>
      </c>
      <c r="B113" t="s">
        <v>305</v>
      </c>
      <c r="C113">
        <v>76</v>
      </c>
      <c r="D113" t="s">
        <v>11</v>
      </c>
      <c r="E113" t="s">
        <v>11</v>
      </c>
      <c r="F113" s="70"/>
      <c r="G113" s="3"/>
      <c r="H113" s="3"/>
      <c r="I113" s="38">
        <f t="shared" si="16"/>
        <v>282</v>
      </c>
      <c r="J113" s="70">
        <v>653</v>
      </c>
      <c r="K113" s="3">
        <v>15</v>
      </c>
      <c r="L113" s="3">
        <v>7</v>
      </c>
      <c r="M113" s="38">
        <f t="shared" si="18"/>
        <v>675</v>
      </c>
      <c r="N113" s="70"/>
      <c r="O113" s="3"/>
      <c r="P113" s="3"/>
      <c r="Q113" s="38">
        <f t="shared" si="19"/>
        <v>393</v>
      </c>
      <c r="R113" s="39">
        <f t="shared" si="20"/>
        <v>1.3936170212765957</v>
      </c>
      <c r="S113" s="67"/>
      <c r="T113" t="s">
        <v>328</v>
      </c>
      <c r="U113" t="s">
        <v>329</v>
      </c>
      <c r="V113">
        <v>108</v>
      </c>
      <c r="W113">
        <v>611</v>
      </c>
      <c r="X113">
        <v>92</v>
      </c>
      <c r="Y113" t="s">
        <v>11</v>
      </c>
    </row>
    <row r="114" spans="1:25" x14ac:dyDescent="0.25">
      <c r="A114" s="37" t="s">
        <v>306</v>
      </c>
      <c r="B114" t="s">
        <v>307</v>
      </c>
      <c r="C114">
        <v>78</v>
      </c>
      <c r="D114" t="s">
        <v>11</v>
      </c>
      <c r="E114" t="s">
        <v>11</v>
      </c>
      <c r="F114" s="70"/>
      <c r="G114" s="3"/>
      <c r="H114" s="3"/>
      <c r="I114" s="38">
        <f t="shared" si="16"/>
        <v>1173</v>
      </c>
      <c r="J114" s="70">
        <v>1928</v>
      </c>
      <c r="K114" s="3">
        <v>20</v>
      </c>
      <c r="L114" s="3">
        <v>35</v>
      </c>
      <c r="M114" s="38">
        <f t="shared" si="18"/>
        <v>1983</v>
      </c>
      <c r="N114" s="70"/>
      <c r="O114" s="3"/>
      <c r="P114" s="3"/>
      <c r="Q114" s="38">
        <f t="shared" si="19"/>
        <v>810</v>
      </c>
      <c r="R114" s="39">
        <f t="shared" si="20"/>
        <v>0.69053708439897699</v>
      </c>
      <c r="S114" s="67"/>
      <c r="T114" t="s">
        <v>330</v>
      </c>
      <c r="U114" t="s">
        <v>331</v>
      </c>
      <c r="V114">
        <v>109</v>
      </c>
      <c r="W114">
        <v>2136</v>
      </c>
      <c r="X114">
        <v>93</v>
      </c>
      <c r="Y114" t="s">
        <v>11</v>
      </c>
    </row>
    <row r="115" spans="1:25" x14ac:dyDescent="0.25">
      <c r="A115" s="37" t="s">
        <v>308</v>
      </c>
      <c r="B115" t="s">
        <v>309</v>
      </c>
      <c r="C115">
        <v>80</v>
      </c>
      <c r="D115" t="s">
        <v>11</v>
      </c>
      <c r="E115" t="s">
        <v>11</v>
      </c>
      <c r="F115" s="70"/>
      <c r="G115" s="3"/>
      <c r="H115" s="3"/>
      <c r="I115" s="38">
        <f t="shared" si="16"/>
        <v>645</v>
      </c>
      <c r="J115" s="70">
        <v>2212</v>
      </c>
      <c r="K115" s="3">
        <v>46</v>
      </c>
      <c r="L115" s="3">
        <v>84</v>
      </c>
      <c r="M115" s="38">
        <f t="shared" si="18"/>
        <v>2342</v>
      </c>
      <c r="N115" s="70"/>
      <c r="O115" s="3"/>
      <c r="P115" s="3"/>
      <c r="Q115" s="38">
        <f t="shared" si="19"/>
        <v>1697</v>
      </c>
      <c r="R115" s="39">
        <f t="shared" si="20"/>
        <v>2.6310077519379846</v>
      </c>
      <c r="S115" s="67"/>
      <c r="T115" t="s">
        <v>332</v>
      </c>
      <c r="U115" t="s">
        <v>333</v>
      </c>
      <c r="V115">
        <v>110</v>
      </c>
      <c r="W115">
        <v>787</v>
      </c>
      <c r="X115">
        <v>94</v>
      </c>
      <c r="Y115" t="s">
        <v>11</v>
      </c>
    </row>
    <row r="116" spans="1:25" x14ac:dyDescent="0.25">
      <c r="A116" s="37" t="s">
        <v>310</v>
      </c>
      <c r="B116" t="s">
        <v>311</v>
      </c>
      <c r="C116">
        <v>83</v>
      </c>
      <c r="D116" t="s">
        <v>11</v>
      </c>
      <c r="E116" t="s">
        <v>11</v>
      </c>
      <c r="F116" s="70"/>
      <c r="G116" s="3"/>
      <c r="H116" s="3"/>
      <c r="I116" s="38">
        <f t="shared" si="16"/>
        <v>1139</v>
      </c>
      <c r="J116" s="70">
        <v>2017</v>
      </c>
      <c r="K116" s="3">
        <v>6</v>
      </c>
      <c r="L116" s="3">
        <v>20</v>
      </c>
      <c r="M116" s="38">
        <f t="shared" si="18"/>
        <v>2043</v>
      </c>
      <c r="N116" s="70"/>
      <c r="O116" s="3"/>
      <c r="P116" s="3"/>
      <c r="Q116" s="38">
        <f t="shared" si="19"/>
        <v>904</v>
      </c>
      <c r="R116" s="39">
        <f t="shared" si="20"/>
        <v>0.79367866549604915</v>
      </c>
      <c r="S116" s="67"/>
      <c r="T116" t="s">
        <v>334</v>
      </c>
      <c r="U116" t="s">
        <v>335</v>
      </c>
      <c r="V116">
        <v>111</v>
      </c>
      <c r="W116">
        <v>1299</v>
      </c>
      <c r="X116">
        <v>95</v>
      </c>
      <c r="Y116" t="s">
        <v>11</v>
      </c>
    </row>
    <row r="117" spans="1:25" x14ac:dyDescent="0.25">
      <c r="A117" s="37" t="s">
        <v>312</v>
      </c>
      <c r="B117" t="s">
        <v>313</v>
      </c>
      <c r="C117">
        <v>85</v>
      </c>
      <c r="D117" t="s">
        <v>11</v>
      </c>
      <c r="E117" t="s">
        <v>11</v>
      </c>
      <c r="F117" s="70"/>
      <c r="G117" s="3"/>
      <c r="H117" s="3"/>
      <c r="I117" s="38">
        <f t="shared" si="16"/>
        <v>195</v>
      </c>
      <c r="J117" s="70">
        <v>2429</v>
      </c>
      <c r="K117" s="3">
        <v>17</v>
      </c>
      <c r="L117" s="3">
        <v>94</v>
      </c>
      <c r="M117" s="38">
        <f t="shared" si="18"/>
        <v>2540</v>
      </c>
      <c r="N117" s="70"/>
      <c r="O117" s="3"/>
      <c r="P117" s="3"/>
      <c r="Q117" s="38">
        <f t="shared" si="19"/>
        <v>2345</v>
      </c>
      <c r="R117" s="39">
        <f t="shared" si="20"/>
        <v>12.025641025641026</v>
      </c>
      <c r="S117" s="67"/>
      <c r="T117" t="s">
        <v>336</v>
      </c>
      <c r="U117" t="s">
        <v>337</v>
      </c>
      <c r="V117">
        <v>112</v>
      </c>
      <c r="W117">
        <v>975</v>
      </c>
      <c r="X117">
        <v>96</v>
      </c>
      <c r="Y117" t="s">
        <v>11</v>
      </c>
    </row>
    <row r="118" spans="1:25" x14ac:dyDescent="0.25">
      <c r="A118" s="37" t="s">
        <v>314</v>
      </c>
      <c r="B118" t="s">
        <v>315</v>
      </c>
      <c r="C118">
        <v>86</v>
      </c>
      <c r="D118" t="s">
        <v>11</v>
      </c>
      <c r="E118" t="s">
        <v>11</v>
      </c>
      <c r="F118" s="70"/>
      <c r="G118" s="3"/>
      <c r="H118" s="3"/>
      <c r="I118" s="38">
        <f t="shared" si="16"/>
        <v>5666</v>
      </c>
      <c r="J118" s="70">
        <v>4166</v>
      </c>
      <c r="K118" s="3">
        <v>31</v>
      </c>
      <c r="L118" s="3">
        <v>120</v>
      </c>
      <c r="M118" s="38">
        <f t="shared" si="18"/>
        <v>4317</v>
      </c>
      <c r="N118" s="70"/>
      <c r="O118" s="3"/>
      <c r="P118" s="3"/>
      <c r="Q118" s="38">
        <f t="shared" si="19"/>
        <v>-1349</v>
      </c>
      <c r="R118" s="39">
        <f t="shared" si="20"/>
        <v>-0.2380868337451465</v>
      </c>
      <c r="S118" s="67"/>
      <c r="T118" t="s">
        <v>338</v>
      </c>
      <c r="U118" t="s">
        <v>339</v>
      </c>
      <c r="V118">
        <v>113</v>
      </c>
      <c r="W118">
        <v>676</v>
      </c>
      <c r="X118">
        <v>97</v>
      </c>
      <c r="Y118" t="s">
        <v>11</v>
      </c>
    </row>
    <row r="119" spans="1:25" x14ac:dyDescent="0.25">
      <c r="A119" s="37" t="s">
        <v>316</v>
      </c>
      <c r="B119" t="s">
        <v>317</v>
      </c>
      <c r="C119">
        <v>87</v>
      </c>
      <c r="D119" t="s">
        <v>11</v>
      </c>
      <c r="E119" t="s">
        <v>11</v>
      </c>
      <c r="F119" s="70"/>
      <c r="G119" s="3"/>
      <c r="H119" s="3"/>
      <c r="I119" s="38">
        <f t="shared" si="16"/>
        <v>2394</v>
      </c>
      <c r="J119" s="70">
        <v>2209</v>
      </c>
      <c r="K119" s="3">
        <v>6</v>
      </c>
      <c r="L119" s="3">
        <v>9</v>
      </c>
      <c r="M119" s="38">
        <f t="shared" si="18"/>
        <v>2224</v>
      </c>
      <c r="N119" s="70"/>
      <c r="O119" s="3"/>
      <c r="P119" s="3"/>
      <c r="Q119" s="38">
        <f t="shared" si="19"/>
        <v>-170</v>
      </c>
      <c r="R119" s="39">
        <f t="shared" si="20"/>
        <v>-7.1010860484544691E-2</v>
      </c>
      <c r="S119" s="67"/>
      <c r="T119" t="s">
        <v>340</v>
      </c>
      <c r="U119" t="s">
        <v>341</v>
      </c>
      <c r="V119">
        <v>114</v>
      </c>
      <c r="W119">
        <v>729</v>
      </c>
      <c r="X119">
        <v>99</v>
      </c>
      <c r="Y119" t="s">
        <v>11</v>
      </c>
    </row>
    <row r="120" spans="1:25" x14ac:dyDescent="0.25">
      <c r="A120" s="37" t="s">
        <v>318</v>
      </c>
      <c r="B120" t="s">
        <v>319</v>
      </c>
      <c r="C120">
        <v>88</v>
      </c>
      <c r="D120" t="s">
        <v>11</v>
      </c>
      <c r="E120" t="s">
        <v>11</v>
      </c>
      <c r="F120" s="70"/>
      <c r="G120" s="3"/>
      <c r="H120" s="3"/>
      <c r="I120" s="38">
        <f t="shared" si="16"/>
        <v>1817</v>
      </c>
      <c r="J120" s="70">
        <v>0</v>
      </c>
      <c r="K120" s="3">
        <v>0</v>
      </c>
      <c r="L120" s="3">
        <v>0</v>
      </c>
      <c r="M120" s="38">
        <f t="shared" si="18"/>
        <v>0</v>
      </c>
      <c r="N120" s="70"/>
      <c r="O120" s="3"/>
      <c r="P120" s="3"/>
      <c r="Q120" s="38">
        <f t="shared" si="19"/>
        <v>-1817</v>
      </c>
      <c r="R120" s="39">
        <f t="shared" si="20"/>
        <v>-1</v>
      </c>
      <c r="S120" s="67"/>
      <c r="T120" t="s">
        <v>342</v>
      </c>
      <c r="U120" t="s">
        <v>343</v>
      </c>
      <c r="V120">
        <v>115</v>
      </c>
      <c r="W120">
        <v>667</v>
      </c>
      <c r="X120">
        <v>100</v>
      </c>
      <c r="Y120" t="s">
        <v>11</v>
      </c>
    </row>
    <row r="121" spans="1:25" x14ac:dyDescent="0.25">
      <c r="A121" s="37" t="s">
        <v>320</v>
      </c>
      <c r="B121" t="s">
        <v>321</v>
      </c>
      <c r="C121">
        <v>89</v>
      </c>
      <c r="D121" t="s">
        <v>11</v>
      </c>
      <c r="E121" t="s">
        <v>11</v>
      </c>
      <c r="F121" s="70"/>
      <c r="G121" s="3"/>
      <c r="H121" s="3"/>
      <c r="I121" s="38">
        <f t="shared" si="16"/>
        <v>2151</v>
      </c>
      <c r="J121" s="70">
        <v>1125</v>
      </c>
      <c r="K121" s="3">
        <v>5</v>
      </c>
      <c r="L121" s="3">
        <v>5</v>
      </c>
      <c r="M121" s="38">
        <f t="shared" si="18"/>
        <v>1135</v>
      </c>
      <c r="N121" s="70"/>
      <c r="O121" s="3"/>
      <c r="P121" s="3"/>
      <c r="Q121" s="38">
        <f t="shared" si="19"/>
        <v>-1016</v>
      </c>
      <c r="R121" s="39">
        <f t="shared" si="20"/>
        <v>-0.47233844723384472</v>
      </c>
      <c r="S121" s="67"/>
      <c r="T121" t="s">
        <v>344</v>
      </c>
      <c r="U121" t="s">
        <v>345</v>
      </c>
      <c r="V121">
        <v>116</v>
      </c>
      <c r="W121">
        <v>2736</v>
      </c>
      <c r="X121">
        <v>101</v>
      </c>
      <c r="Y121" t="s">
        <v>11</v>
      </c>
    </row>
    <row r="122" spans="1:25" x14ac:dyDescent="0.25">
      <c r="A122" s="37" t="s">
        <v>322</v>
      </c>
      <c r="B122" t="s">
        <v>323</v>
      </c>
      <c r="C122">
        <v>8993</v>
      </c>
      <c r="D122" t="s">
        <v>11</v>
      </c>
      <c r="E122" t="s">
        <v>11</v>
      </c>
      <c r="F122" s="70"/>
      <c r="G122" s="3"/>
      <c r="H122" s="3"/>
      <c r="I122" s="38">
        <f t="shared" si="16"/>
        <v>0</v>
      </c>
      <c r="J122" s="70">
        <v>0</v>
      </c>
      <c r="K122" s="3">
        <v>0</v>
      </c>
      <c r="L122" s="3">
        <v>0</v>
      </c>
      <c r="M122" s="38">
        <f t="shared" si="18"/>
        <v>0</v>
      </c>
      <c r="N122" s="70"/>
      <c r="O122" s="3"/>
      <c r="P122" s="3"/>
      <c r="Q122" s="38">
        <f t="shared" si="19"/>
        <v>0</v>
      </c>
      <c r="R122" s="39" t="e">
        <f t="shared" si="20"/>
        <v>#DIV/0!</v>
      </c>
      <c r="S122" s="67"/>
      <c r="T122" t="s">
        <v>346</v>
      </c>
      <c r="U122" t="s">
        <v>347</v>
      </c>
      <c r="V122">
        <v>117</v>
      </c>
      <c r="W122">
        <v>4279</v>
      </c>
      <c r="X122">
        <v>104</v>
      </c>
      <c r="Y122" t="s">
        <v>11</v>
      </c>
    </row>
    <row r="123" spans="1:25" x14ac:dyDescent="0.25">
      <c r="A123" s="37" t="s">
        <v>324</v>
      </c>
      <c r="B123" t="s">
        <v>325</v>
      </c>
      <c r="C123">
        <v>90</v>
      </c>
      <c r="D123" t="s">
        <v>11</v>
      </c>
      <c r="E123" t="s">
        <v>11</v>
      </c>
      <c r="F123" s="70"/>
      <c r="G123" s="3"/>
      <c r="H123" s="3"/>
      <c r="I123" s="38">
        <f t="shared" si="16"/>
        <v>663</v>
      </c>
      <c r="J123" s="70">
        <v>3290</v>
      </c>
      <c r="K123" s="3">
        <v>18</v>
      </c>
      <c r="L123" s="3">
        <v>7</v>
      </c>
      <c r="M123" s="38">
        <f t="shared" si="18"/>
        <v>3315</v>
      </c>
      <c r="N123" s="70"/>
      <c r="O123" s="3"/>
      <c r="P123" s="3"/>
      <c r="Q123" s="38">
        <f t="shared" si="19"/>
        <v>2652</v>
      </c>
      <c r="R123" s="39">
        <f t="shared" si="20"/>
        <v>4</v>
      </c>
      <c r="S123" s="67"/>
      <c r="T123" t="s">
        <v>348</v>
      </c>
      <c r="U123" t="s">
        <v>349</v>
      </c>
      <c r="V123">
        <v>118</v>
      </c>
      <c r="W123">
        <v>852</v>
      </c>
      <c r="X123">
        <v>105</v>
      </c>
      <c r="Y123" t="s">
        <v>11</v>
      </c>
    </row>
    <row r="124" spans="1:25" x14ac:dyDescent="0.25">
      <c r="A124" s="37" t="s">
        <v>326</v>
      </c>
      <c r="B124" t="s">
        <v>327</v>
      </c>
      <c r="C124">
        <v>91</v>
      </c>
      <c r="D124" t="s">
        <v>11</v>
      </c>
      <c r="E124" t="s">
        <v>11</v>
      </c>
      <c r="F124" s="70"/>
      <c r="G124" s="3"/>
      <c r="H124" s="3"/>
      <c r="I124" s="38">
        <f t="shared" si="16"/>
        <v>863</v>
      </c>
      <c r="J124" s="70">
        <v>0</v>
      </c>
      <c r="K124" s="3">
        <v>0</v>
      </c>
      <c r="L124" s="3">
        <v>0</v>
      </c>
      <c r="M124" s="38">
        <f t="shared" si="18"/>
        <v>0</v>
      </c>
      <c r="N124" s="70"/>
      <c r="O124" s="3"/>
      <c r="P124" s="3"/>
      <c r="Q124" s="38">
        <f t="shared" si="19"/>
        <v>-863</v>
      </c>
      <c r="R124" s="39">
        <f t="shared" si="20"/>
        <v>-1</v>
      </c>
      <c r="S124" s="67"/>
      <c r="T124" t="s">
        <v>350</v>
      </c>
      <c r="U124" t="s">
        <v>351</v>
      </c>
      <c r="V124">
        <v>119</v>
      </c>
      <c r="W124">
        <v>1964</v>
      </c>
      <c r="X124">
        <v>106</v>
      </c>
      <c r="Y124" t="s">
        <v>11</v>
      </c>
    </row>
    <row r="125" spans="1:25" x14ac:dyDescent="0.25">
      <c r="A125" s="37" t="s">
        <v>328</v>
      </c>
      <c r="B125" t="s">
        <v>329</v>
      </c>
      <c r="C125">
        <v>92</v>
      </c>
      <c r="D125" t="s">
        <v>11</v>
      </c>
      <c r="E125" t="s">
        <v>11</v>
      </c>
      <c r="F125" s="70"/>
      <c r="G125" s="3"/>
      <c r="H125" s="3"/>
      <c r="I125" s="38">
        <f t="shared" si="16"/>
        <v>611</v>
      </c>
      <c r="J125" s="70">
        <v>0</v>
      </c>
      <c r="K125" s="3">
        <v>0</v>
      </c>
      <c r="L125" s="3">
        <v>0</v>
      </c>
      <c r="M125" s="38">
        <f t="shared" si="18"/>
        <v>0</v>
      </c>
      <c r="N125" s="70"/>
      <c r="O125" s="3"/>
      <c r="P125" s="3"/>
      <c r="Q125" s="38">
        <f t="shared" si="19"/>
        <v>-611</v>
      </c>
      <c r="R125" s="39">
        <f t="shared" si="20"/>
        <v>-1</v>
      </c>
      <c r="S125" s="67"/>
      <c r="T125" t="s">
        <v>352</v>
      </c>
      <c r="U125" t="s">
        <v>353</v>
      </c>
      <c r="V125">
        <v>120</v>
      </c>
      <c r="W125">
        <v>2423</v>
      </c>
      <c r="X125">
        <v>108</v>
      </c>
      <c r="Y125" t="s">
        <v>11</v>
      </c>
    </row>
    <row r="126" spans="1:25" x14ac:dyDescent="0.25">
      <c r="A126" s="37" t="s">
        <v>330</v>
      </c>
      <c r="B126" t="s">
        <v>331</v>
      </c>
      <c r="C126">
        <v>93</v>
      </c>
      <c r="D126" t="s">
        <v>11</v>
      </c>
      <c r="E126" t="s">
        <v>11</v>
      </c>
      <c r="F126" s="70"/>
      <c r="G126" s="3"/>
      <c r="H126" s="3"/>
      <c r="I126" s="38">
        <f t="shared" si="16"/>
        <v>2136</v>
      </c>
      <c r="J126" s="70">
        <v>0</v>
      </c>
      <c r="K126" s="3">
        <v>0</v>
      </c>
      <c r="L126" s="3">
        <v>0</v>
      </c>
      <c r="M126" s="38">
        <f t="shared" si="18"/>
        <v>0</v>
      </c>
      <c r="N126" s="70"/>
      <c r="O126" s="3"/>
      <c r="P126" s="3"/>
      <c r="Q126" s="38">
        <f t="shared" si="19"/>
        <v>-2136</v>
      </c>
      <c r="R126" s="39">
        <f t="shared" si="20"/>
        <v>-1</v>
      </c>
      <c r="S126" s="67"/>
      <c r="T126" t="s">
        <v>354</v>
      </c>
      <c r="U126" t="s">
        <v>355</v>
      </c>
      <c r="V126">
        <v>121</v>
      </c>
      <c r="W126">
        <v>3478</v>
      </c>
      <c r="X126">
        <v>109</v>
      </c>
      <c r="Y126" t="s">
        <v>11</v>
      </c>
    </row>
    <row r="127" spans="1:25" x14ac:dyDescent="0.25">
      <c r="A127" s="37" t="s">
        <v>332</v>
      </c>
      <c r="B127" t="s">
        <v>333</v>
      </c>
      <c r="C127">
        <v>94</v>
      </c>
      <c r="D127" t="s">
        <v>11</v>
      </c>
      <c r="E127" t="s">
        <v>11</v>
      </c>
      <c r="F127" s="70"/>
      <c r="G127" s="3"/>
      <c r="H127" s="3"/>
      <c r="I127" s="38">
        <f t="shared" ref="I127:I200" si="21">VLOOKUP(A127,$T$5:$W$279,4,0)</f>
        <v>787</v>
      </c>
      <c r="J127" s="70">
        <v>0</v>
      </c>
      <c r="K127" s="3">
        <v>0</v>
      </c>
      <c r="L127" s="3">
        <v>0</v>
      </c>
      <c r="M127" s="38">
        <f t="shared" si="18"/>
        <v>0</v>
      </c>
      <c r="N127" s="70"/>
      <c r="O127" s="3"/>
      <c r="P127" s="3"/>
      <c r="Q127" s="38">
        <f t="shared" si="19"/>
        <v>-787</v>
      </c>
      <c r="R127" s="39">
        <f t="shared" si="20"/>
        <v>-1</v>
      </c>
      <c r="S127" s="67"/>
      <c r="T127" t="s">
        <v>356</v>
      </c>
      <c r="U127" t="s">
        <v>357</v>
      </c>
      <c r="V127">
        <v>122</v>
      </c>
      <c r="W127">
        <v>3275</v>
      </c>
      <c r="X127">
        <v>110</v>
      </c>
      <c r="Y127" t="s">
        <v>11</v>
      </c>
    </row>
    <row r="128" spans="1:25" x14ac:dyDescent="0.25">
      <c r="A128" s="37" t="s">
        <v>334</v>
      </c>
      <c r="B128" t="s">
        <v>335</v>
      </c>
      <c r="C128">
        <v>95</v>
      </c>
      <c r="D128" t="s">
        <v>11</v>
      </c>
      <c r="E128" t="s">
        <v>11</v>
      </c>
      <c r="F128" s="70"/>
      <c r="G128" s="3"/>
      <c r="H128" s="3"/>
      <c r="I128" s="38">
        <f t="shared" si="21"/>
        <v>1299</v>
      </c>
      <c r="J128" s="70">
        <v>2591</v>
      </c>
      <c r="K128" s="3">
        <v>36</v>
      </c>
      <c r="L128" s="3">
        <v>258</v>
      </c>
      <c r="M128" s="38">
        <f t="shared" si="18"/>
        <v>2885</v>
      </c>
      <c r="N128" s="70"/>
      <c r="O128" s="3"/>
      <c r="P128" s="3"/>
      <c r="Q128" s="38">
        <f t="shared" si="19"/>
        <v>1586</v>
      </c>
      <c r="R128" s="39">
        <f t="shared" si="20"/>
        <v>1.2209391839876829</v>
      </c>
      <c r="S128" s="67"/>
      <c r="T128" t="s">
        <v>191</v>
      </c>
      <c r="U128" t="s">
        <v>192</v>
      </c>
      <c r="V128">
        <v>123</v>
      </c>
      <c r="W128">
        <v>10101</v>
      </c>
      <c r="X128">
        <v>111</v>
      </c>
      <c r="Y128" t="s">
        <v>11</v>
      </c>
    </row>
    <row r="129" spans="1:26" x14ac:dyDescent="0.25">
      <c r="A129" s="37" t="s">
        <v>336</v>
      </c>
      <c r="B129" t="s">
        <v>337</v>
      </c>
      <c r="C129">
        <v>96</v>
      </c>
      <c r="D129" t="s">
        <v>11</v>
      </c>
      <c r="E129" t="s">
        <v>11</v>
      </c>
      <c r="F129" s="70"/>
      <c r="G129" s="3"/>
      <c r="H129" s="3"/>
      <c r="I129" s="38">
        <f t="shared" si="21"/>
        <v>975</v>
      </c>
      <c r="J129" s="70">
        <v>4794</v>
      </c>
      <c r="K129" s="3">
        <v>37</v>
      </c>
      <c r="L129" s="3">
        <v>88</v>
      </c>
      <c r="M129" s="38">
        <f t="shared" si="18"/>
        <v>4919</v>
      </c>
      <c r="N129" s="70"/>
      <c r="O129" s="3"/>
      <c r="P129" s="3"/>
      <c r="Q129" s="38">
        <f t="shared" si="19"/>
        <v>3944</v>
      </c>
      <c r="R129" s="39">
        <f t="shared" si="20"/>
        <v>4.0451282051282051</v>
      </c>
      <c r="S129" s="67"/>
      <c r="T129" t="s">
        <v>358</v>
      </c>
      <c r="U129" t="s">
        <v>359</v>
      </c>
      <c r="V129">
        <v>124</v>
      </c>
      <c r="W129">
        <v>1135</v>
      </c>
      <c r="X129">
        <v>112</v>
      </c>
      <c r="Y129" t="s">
        <v>11</v>
      </c>
    </row>
    <row r="130" spans="1:26" x14ac:dyDescent="0.25">
      <c r="A130" s="37" t="s">
        <v>338</v>
      </c>
      <c r="B130" t="s">
        <v>339</v>
      </c>
      <c r="C130">
        <v>97</v>
      </c>
      <c r="D130" t="s">
        <v>11</v>
      </c>
      <c r="E130" t="s">
        <v>11</v>
      </c>
      <c r="F130" s="70"/>
      <c r="G130" s="3"/>
      <c r="H130" s="3"/>
      <c r="I130" s="38">
        <f t="shared" si="21"/>
        <v>676</v>
      </c>
      <c r="J130" s="70">
        <v>0</v>
      </c>
      <c r="K130" s="3">
        <v>0</v>
      </c>
      <c r="L130" s="3">
        <v>0</v>
      </c>
      <c r="M130" s="38">
        <f t="shared" si="18"/>
        <v>0</v>
      </c>
      <c r="N130" s="70"/>
      <c r="O130" s="3"/>
      <c r="P130" s="3"/>
      <c r="Q130" s="38">
        <f t="shared" si="19"/>
        <v>-676</v>
      </c>
      <c r="R130" s="39">
        <f t="shared" si="20"/>
        <v>-1</v>
      </c>
      <c r="S130" s="67"/>
      <c r="T130" t="s">
        <v>360</v>
      </c>
      <c r="U130" t="s">
        <v>361</v>
      </c>
      <c r="V130">
        <v>125</v>
      </c>
      <c r="W130">
        <v>359</v>
      </c>
      <c r="X130">
        <v>114</v>
      </c>
      <c r="Y130" t="s">
        <v>11</v>
      </c>
    </row>
    <row r="131" spans="1:26" x14ac:dyDescent="0.25">
      <c r="A131" s="37" t="s">
        <v>340</v>
      </c>
      <c r="B131" t="s">
        <v>341</v>
      </c>
      <c r="C131">
        <v>99</v>
      </c>
      <c r="D131" t="s">
        <v>11</v>
      </c>
      <c r="E131" t="s">
        <v>11</v>
      </c>
      <c r="F131" s="70"/>
      <c r="G131" s="3"/>
      <c r="H131" s="3"/>
      <c r="I131" s="38">
        <f t="shared" si="21"/>
        <v>729</v>
      </c>
      <c r="J131" s="70">
        <v>1439</v>
      </c>
      <c r="K131" s="3">
        <v>11</v>
      </c>
      <c r="L131" s="3">
        <v>10</v>
      </c>
      <c r="M131" s="38">
        <f t="shared" si="18"/>
        <v>1460</v>
      </c>
      <c r="N131" s="70"/>
      <c r="O131" s="3"/>
      <c r="P131" s="3"/>
      <c r="Q131" s="38">
        <f t="shared" si="19"/>
        <v>731</v>
      </c>
      <c r="R131" s="39">
        <f t="shared" si="20"/>
        <v>1.0027434842249656</v>
      </c>
      <c r="S131" s="67"/>
      <c r="T131" t="s">
        <v>195</v>
      </c>
      <c r="U131" t="s">
        <v>196</v>
      </c>
      <c r="V131">
        <v>126</v>
      </c>
      <c r="W131">
        <v>6908</v>
      </c>
      <c r="X131">
        <v>116</v>
      </c>
      <c r="Y131" t="s">
        <v>11</v>
      </c>
    </row>
    <row r="132" spans="1:26" x14ac:dyDescent="0.25">
      <c r="A132" s="37" t="s">
        <v>342</v>
      </c>
      <c r="B132" t="s">
        <v>343</v>
      </c>
      <c r="C132">
        <v>100</v>
      </c>
      <c r="D132" t="s">
        <v>11</v>
      </c>
      <c r="E132" t="s">
        <v>11</v>
      </c>
      <c r="F132" s="70"/>
      <c r="G132" s="3"/>
      <c r="H132" s="3"/>
      <c r="I132" s="38">
        <f t="shared" si="21"/>
        <v>667</v>
      </c>
      <c r="J132" s="70">
        <v>800</v>
      </c>
      <c r="K132" s="3">
        <v>9</v>
      </c>
      <c r="L132" s="3">
        <v>10</v>
      </c>
      <c r="M132" s="38">
        <f t="shared" si="18"/>
        <v>819</v>
      </c>
      <c r="N132" s="70"/>
      <c r="O132" s="3"/>
      <c r="P132" s="3"/>
      <c r="Q132" s="38">
        <f t="shared" si="19"/>
        <v>152</v>
      </c>
      <c r="R132" s="39">
        <f t="shared" si="20"/>
        <v>0.22788605697151423</v>
      </c>
      <c r="S132" s="67"/>
      <c r="T132" t="s">
        <v>199</v>
      </c>
      <c r="U132" t="s">
        <v>200</v>
      </c>
      <c r="V132">
        <v>127</v>
      </c>
      <c r="W132">
        <v>6101</v>
      </c>
      <c r="X132">
        <v>117</v>
      </c>
      <c r="Y132" t="s">
        <v>11</v>
      </c>
    </row>
    <row r="133" spans="1:26" x14ac:dyDescent="0.25">
      <c r="A133" s="37" t="s">
        <v>344</v>
      </c>
      <c r="B133" t="s">
        <v>345</v>
      </c>
      <c r="C133">
        <v>101</v>
      </c>
      <c r="D133" t="s">
        <v>11</v>
      </c>
      <c r="E133" t="s">
        <v>11</v>
      </c>
      <c r="F133" s="70"/>
      <c r="G133" s="3"/>
      <c r="H133" s="3"/>
      <c r="I133" s="38">
        <f t="shared" si="21"/>
        <v>2736</v>
      </c>
      <c r="J133" s="70">
        <v>8672</v>
      </c>
      <c r="K133" s="3">
        <v>37</v>
      </c>
      <c r="L133" s="3">
        <v>116</v>
      </c>
      <c r="M133" s="38">
        <f t="shared" si="18"/>
        <v>8825</v>
      </c>
      <c r="N133" s="70"/>
      <c r="O133" s="3"/>
      <c r="P133" s="3"/>
      <c r="Q133" s="38">
        <f t="shared" si="19"/>
        <v>6089</v>
      </c>
      <c r="R133" s="39">
        <f t="shared" si="20"/>
        <v>2.2255116959064329</v>
      </c>
      <c r="S133" s="67"/>
      <c r="T133" t="s">
        <v>362</v>
      </c>
      <c r="U133" t="s">
        <v>363</v>
      </c>
      <c r="V133">
        <v>128</v>
      </c>
      <c r="W133">
        <v>1118</v>
      </c>
      <c r="X133">
        <v>119</v>
      </c>
      <c r="Y133" t="s">
        <v>11</v>
      </c>
    </row>
    <row r="134" spans="1:26" x14ac:dyDescent="0.25">
      <c r="A134" s="37" t="s">
        <v>346</v>
      </c>
      <c r="B134" t="s">
        <v>347</v>
      </c>
      <c r="C134">
        <v>104</v>
      </c>
      <c r="D134" t="s">
        <v>11</v>
      </c>
      <c r="E134" t="s">
        <v>11</v>
      </c>
      <c r="F134" s="70"/>
      <c r="G134" s="3"/>
      <c r="H134" s="3"/>
      <c r="I134" s="38">
        <f t="shared" si="21"/>
        <v>4279</v>
      </c>
      <c r="J134" s="70">
        <v>9667</v>
      </c>
      <c r="K134" s="3">
        <v>43</v>
      </c>
      <c r="L134" s="3">
        <v>82</v>
      </c>
      <c r="M134" s="38">
        <f t="shared" si="18"/>
        <v>9792</v>
      </c>
      <c r="N134" s="70"/>
      <c r="O134" s="3"/>
      <c r="P134" s="3"/>
      <c r="Q134" s="38">
        <f t="shared" si="19"/>
        <v>5513</v>
      </c>
      <c r="R134" s="39">
        <f t="shared" si="20"/>
        <v>1.2883851367141856</v>
      </c>
      <c r="S134" s="67"/>
      <c r="T134" t="s">
        <v>364</v>
      </c>
      <c r="U134" t="s">
        <v>365</v>
      </c>
      <c r="V134">
        <v>129</v>
      </c>
      <c r="W134">
        <v>2248</v>
      </c>
      <c r="X134">
        <v>120</v>
      </c>
      <c r="Y134" t="s">
        <v>11</v>
      </c>
    </row>
    <row r="135" spans="1:26" x14ac:dyDescent="0.25">
      <c r="A135" s="37" t="s">
        <v>348</v>
      </c>
      <c r="B135" t="s">
        <v>349</v>
      </c>
      <c r="C135">
        <v>105</v>
      </c>
      <c r="D135" t="s">
        <v>11</v>
      </c>
      <c r="E135" t="s">
        <v>11</v>
      </c>
      <c r="F135" s="70"/>
      <c r="G135" s="3"/>
      <c r="H135" s="3"/>
      <c r="I135" s="38">
        <f t="shared" si="21"/>
        <v>852</v>
      </c>
      <c r="J135" s="70">
        <v>3392</v>
      </c>
      <c r="K135" s="3">
        <v>46</v>
      </c>
      <c r="L135" s="3">
        <v>44</v>
      </c>
      <c r="M135" s="38">
        <f t="shared" si="18"/>
        <v>3482</v>
      </c>
      <c r="N135" s="70"/>
      <c r="O135" s="3"/>
      <c r="P135" s="3"/>
      <c r="Q135" s="38">
        <f t="shared" si="19"/>
        <v>2630</v>
      </c>
      <c r="R135" s="39">
        <f t="shared" si="20"/>
        <v>3.0868544600938965</v>
      </c>
      <c r="S135" s="67"/>
      <c r="T135" t="s">
        <v>201</v>
      </c>
      <c r="U135" t="s">
        <v>202</v>
      </c>
      <c r="V135">
        <v>130</v>
      </c>
      <c r="W135">
        <v>314</v>
      </c>
      <c r="X135">
        <v>121</v>
      </c>
      <c r="Y135" t="s">
        <v>11</v>
      </c>
    </row>
    <row r="136" spans="1:26" x14ac:dyDescent="0.25">
      <c r="A136" s="37" t="s">
        <v>350</v>
      </c>
      <c r="B136" t="s">
        <v>351</v>
      </c>
      <c r="C136">
        <v>106</v>
      </c>
      <c r="D136" t="s">
        <v>11</v>
      </c>
      <c r="E136" t="s">
        <v>11</v>
      </c>
      <c r="F136" s="70"/>
      <c r="G136" s="3"/>
      <c r="H136" s="3"/>
      <c r="I136" s="38">
        <f t="shared" si="21"/>
        <v>1964</v>
      </c>
      <c r="J136" s="70">
        <v>3024</v>
      </c>
      <c r="K136" s="3">
        <v>22</v>
      </c>
      <c r="L136" s="3">
        <v>38</v>
      </c>
      <c r="M136" s="38">
        <f t="shared" si="18"/>
        <v>3084</v>
      </c>
      <c r="N136" s="70"/>
      <c r="O136" s="3"/>
      <c r="P136" s="3"/>
      <c r="Q136" s="38">
        <f t="shared" si="19"/>
        <v>1120</v>
      </c>
      <c r="R136" s="39">
        <f t="shared" si="20"/>
        <v>0.570264765784114</v>
      </c>
      <c r="S136" s="67"/>
      <c r="T136" t="s">
        <v>205</v>
      </c>
      <c r="U136" t="s">
        <v>206</v>
      </c>
      <c r="V136">
        <v>131</v>
      </c>
      <c r="W136">
        <v>268</v>
      </c>
      <c r="X136">
        <v>131</v>
      </c>
      <c r="Y136" t="s">
        <v>11</v>
      </c>
    </row>
    <row r="137" spans="1:26" x14ac:dyDescent="0.25">
      <c r="A137" s="37" t="s">
        <v>352</v>
      </c>
      <c r="B137" t="s">
        <v>353</v>
      </c>
      <c r="C137">
        <v>108</v>
      </c>
      <c r="D137" t="s">
        <v>11</v>
      </c>
      <c r="E137" t="s">
        <v>11</v>
      </c>
      <c r="F137" s="70"/>
      <c r="G137" s="3"/>
      <c r="H137" s="3"/>
      <c r="I137" s="38">
        <f t="shared" si="21"/>
        <v>2423</v>
      </c>
      <c r="J137" s="70">
        <v>2393</v>
      </c>
      <c r="K137" s="3">
        <v>12</v>
      </c>
      <c r="L137" s="3">
        <v>17</v>
      </c>
      <c r="M137" s="38">
        <f t="shared" si="18"/>
        <v>2422</v>
      </c>
      <c r="N137" s="70"/>
      <c r="O137" s="3"/>
      <c r="P137" s="3"/>
      <c r="Q137" s="38">
        <f t="shared" si="19"/>
        <v>-1</v>
      </c>
      <c r="R137" s="39">
        <f t="shared" si="20"/>
        <v>-4.127115146512588E-4</v>
      </c>
      <c r="S137" s="67"/>
      <c r="T137" t="s">
        <v>366</v>
      </c>
      <c r="U137" t="s">
        <v>367</v>
      </c>
      <c r="V137">
        <v>132</v>
      </c>
      <c r="W137">
        <v>713</v>
      </c>
      <c r="X137">
        <v>132</v>
      </c>
      <c r="Y137" t="s">
        <v>11</v>
      </c>
    </row>
    <row r="138" spans="1:26" x14ac:dyDescent="0.25">
      <c r="A138" s="37" t="s">
        <v>354</v>
      </c>
      <c r="B138" t="s">
        <v>355</v>
      </c>
      <c r="C138">
        <v>109</v>
      </c>
      <c r="D138" t="s">
        <v>11</v>
      </c>
      <c r="E138" t="s">
        <v>11</v>
      </c>
      <c r="F138" s="70"/>
      <c r="G138" s="3"/>
      <c r="H138" s="3"/>
      <c r="I138" s="38">
        <f t="shared" si="21"/>
        <v>3478</v>
      </c>
      <c r="J138" s="70">
        <v>14326</v>
      </c>
      <c r="K138" s="3">
        <v>126</v>
      </c>
      <c r="L138" s="3">
        <v>290</v>
      </c>
      <c r="M138" s="38">
        <f t="shared" si="18"/>
        <v>14742</v>
      </c>
      <c r="N138" s="70"/>
      <c r="O138" s="3"/>
      <c r="P138" s="3"/>
      <c r="Q138" s="38">
        <f t="shared" si="19"/>
        <v>11264</v>
      </c>
      <c r="R138" s="39">
        <f t="shared" si="20"/>
        <v>3.2386428982173663</v>
      </c>
      <c r="S138" s="67"/>
      <c r="T138" t="s">
        <v>368</v>
      </c>
      <c r="U138" t="s">
        <v>369</v>
      </c>
      <c r="V138">
        <v>133</v>
      </c>
      <c r="W138">
        <v>1246</v>
      </c>
      <c r="X138">
        <v>134</v>
      </c>
      <c r="Y138" t="s">
        <v>11</v>
      </c>
    </row>
    <row r="139" spans="1:26" x14ac:dyDescent="0.25">
      <c r="A139" s="37" t="s">
        <v>356</v>
      </c>
      <c r="B139" t="s">
        <v>357</v>
      </c>
      <c r="C139">
        <v>110</v>
      </c>
      <c r="D139" t="s">
        <v>11</v>
      </c>
      <c r="E139" t="s">
        <v>11</v>
      </c>
      <c r="F139" s="70"/>
      <c r="G139" s="3"/>
      <c r="H139" s="3"/>
      <c r="I139" s="38">
        <f t="shared" si="21"/>
        <v>3275</v>
      </c>
      <c r="J139" s="70">
        <v>6521</v>
      </c>
      <c r="K139" s="3">
        <v>26</v>
      </c>
      <c r="L139" s="3">
        <v>99</v>
      </c>
      <c r="M139" s="38">
        <f t="shared" si="18"/>
        <v>6646</v>
      </c>
      <c r="N139" s="70"/>
      <c r="O139" s="3"/>
      <c r="P139" s="3"/>
      <c r="Q139" s="38">
        <f t="shared" si="19"/>
        <v>3371</v>
      </c>
      <c r="R139" s="39">
        <f t="shared" si="20"/>
        <v>1.0293129770992366</v>
      </c>
      <c r="S139" s="67"/>
      <c r="T139" t="s">
        <v>370</v>
      </c>
      <c r="U139" t="s">
        <v>371</v>
      </c>
      <c r="V139">
        <v>134</v>
      </c>
      <c r="W139">
        <v>1166</v>
      </c>
      <c r="X139">
        <v>137</v>
      </c>
      <c r="Y139" t="s">
        <v>11</v>
      </c>
    </row>
    <row r="140" spans="1:26" x14ac:dyDescent="0.25">
      <c r="A140" s="37" t="s">
        <v>358</v>
      </c>
      <c r="B140" t="s">
        <v>359</v>
      </c>
      <c r="C140">
        <v>112</v>
      </c>
      <c r="D140" t="s">
        <v>11</v>
      </c>
      <c r="E140" t="s">
        <v>11</v>
      </c>
      <c r="F140" s="70"/>
      <c r="G140" s="3"/>
      <c r="H140" s="3"/>
      <c r="I140" s="38">
        <f t="shared" si="21"/>
        <v>1135</v>
      </c>
      <c r="J140" s="70">
        <v>1085</v>
      </c>
      <c r="K140" s="3">
        <v>8</v>
      </c>
      <c r="L140" s="3">
        <v>3</v>
      </c>
      <c r="M140" s="38">
        <f t="shared" si="18"/>
        <v>1096</v>
      </c>
      <c r="N140" s="70"/>
      <c r="O140" s="3"/>
      <c r="P140" s="3"/>
      <c r="Q140" s="38">
        <f t="shared" si="19"/>
        <v>-39</v>
      </c>
      <c r="R140" s="39">
        <f t="shared" si="20"/>
        <v>-3.4361233480176209E-2</v>
      </c>
      <c r="S140" s="67"/>
      <c r="T140" t="s">
        <v>372</v>
      </c>
      <c r="U140" t="s">
        <v>373</v>
      </c>
      <c r="V140">
        <v>135</v>
      </c>
      <c r="W140">
        <v>20</v>
      </c>
      <c r="X140">
        <v>171</v>
      </c>
      <c r="Y140" t="s">
        <v>11</v>
      </c>
    </row>
    <row r="141" spans="1:26" x14ac:dyDescent="0.25">
      <c r="A141" s="37" t="s">
        <v>360</v>
      </c>
      <c r="B141" t="s">
        <v>361</v>
      </c>
      <c r="C141">
        <v>114</v>
      </c>
      <c r="D141" t="s">
        <v>11</v>
      </c>
      <c r="E141" t="s">
        <v>11</v>
      </c>
      <c r="F141" s="70"/>
      <c r="G141" s="3"/>
      <c r="H141" s="3"/>
      <c r="I141" s="38">
        <f>VLOOKUP(A141,$T$5:$W$279,4,0)</f>
        <v>359</v>
      </c>
      <c r="J141" s="70">
        <v>0</v>
      </c>
      <c r="K141" s="3">
        <v>0</v>
      </c>
      <c r="L141" s="3">
        <v>0</v>
      </c>
      <c r="M141" s="38">
        <f>SUM(J141:L141)</f>
        <v>0</v>
      </c>
      <c r="N141" s="70"/>
      <c r="O141" s="3"/>
      <c r="P141" s="3"/>
      <c r="Q141" s="38">
        <f>M141-I141</f>
        <v>-359</v>
      </c>
      <c r="R141" s="39">
        <f>Q141/I141</f>
        <v>-1</v>
      </c>
      <c r="S141" s="67"/>
      <c r="T141" t="s">
        <v>374</v>
      </c>
      <c r="U141" t="s">
        <v>375</v>
      </c>
      <c r="V141">
        <v>136</v>
      </c>
      <c r="W141">
        <v>0</v>
      </c>
      <c r="X141">
        <v>195</v>
      </c>
      <c r="Y141" t="s">
        <v>11</v>
      </c>
    </row>
    <row r="142" spans="1:26" x14ac:dyDescent="0.25">
      <c r="A142" s="37" t="s">
        <v>362</v>
      </c>
      <c r="B142" t="s">
        <v>363</v>
      </c>
      <c r="C142">
        <v>119</v>
      </c>
      <c r="D142" t="s">
        <v>11</v>
      </c>
      <c r="E142" t="s">
        <v>11</v>
      </c>
      <c r="F142" s="70"/>
      <c r="G142" s="3"/>
      <c r="H142" s="3"/>
      <c r="I142" s="38">
        <f t="shared" si="21"/>
        <v>1118</v>
      </c>
      <c r="J142" s="70">
        <v>4473</v>
      </c>
      <c r="K142" s="3">
        <v>38</v>
      </c>
      <c r="L142" s="3">
        <v>28</v>
      </c>
      <c r="M142" s="38">
        <f t="shared" si="18"/>
        <v>4539</v>
      </c>
      <c r="N142" s="70"/>
      <c r="O142" s="3"/>
      <c r="P142" s="3"/>
      <c r="Q142" s="38">
        <f t="shared" si="19"/>
        <v>3421</v>
      </c>
      <c r="R142" s="39">
        <f t="shared" si="20"/>
        <v>3.0599284436493739</v>
      </c>
      <c r="S142" s="67"/>
      <c r="T142" t="s">
        <v>376</v>
      </c>
      <c r="U142" t="s">
        <v>377</v>
      </c>
      <c r="V142">
        <v>137</v>
      </c>
      <c r="W142">
        <v>490</v>
      </c>
      <c r="X142">
        <v>201</v>
      </c>
      <c r="Y142" t="s">
        <v>11</v>
      </c>
    </row>
    <row r="143" spans="1:26" s="35" customFormat="1" x14ac:dyDescent="0.25">
      <c r="A143" s="37" t="s">
        <v>364</v>
      </c>
      <c r="B143" t="s">
        <v>365</v>
      </c>
      <c r="C143">
        <v>120</v>
      </c>
      <c r="D143" t="s">
        <v>11</v>
      </c>
      <c r="E143" t="s">
        <v>11</v>
      </c>
      <c r="F143" s="70"/>
      <c r="G143" s="3"/>
      <c r="H143" s="3"/>
      <c r="I143" s="38">
        <f t="shared" si="21"/>
        <v>2248</v>
      </c>
      <c r="J143" s="70">
        <v>3936</v>
      </c>
      <c r="K143" s="3">
        <v>60</v>
      </c>
      <c r="L143" s="3">
        <v>301</v>
      </c>
      <c r="M143" s="38">
        <f t="shared" ref="M143:M201" si="22">SUM(J143:L143)</f>
        <v>4297</v>
      </c>
      <c r="N143" s="70"/>
      <c r="O143" s="3"/>
      <c r="P143" s="3"/>
      <c r="Q143" s="38">
        <f t="shared" si="19"/>
        <v>2049</v>
      </c>
      <c r="R143" s="39">
        <f t="shared" si="20"/>
        <v>0.91147686832740216</v>
      </c>
      <c r="S143" s="67"/>
      <c r="T143" t="s">
        <v>378</v>
      </c>
      <c r="U143" t="s">
        <v>379</v>
      </c>
      <c r="V143">
        <v>138</v>
      </c>
      <c r="W143">
        <v>134</v>
      </c>
      <c r="X143">
        <v>202</v>
      </c>
      <c r="Y143" t="s">
        <v>11</v>
      </c>
      <c r="Z143"/>
    </row>
    <row r="144" spans="1:26" x14ac:dyDescent="0.25">
      <c r="A144" s="37" t="s">
        <v>201</v>
      </c>
      <c r="B144" t="s">
        <v>202</v>
      </c>
      <c r="C144">
        <v>121</v>
      </c>
      <c r="D144" t="s">
        <v>11</v>
      </c>
      <c r="E144" t="s">
        <v>11</v>
      </c>
      <c r="F144" s="70"/>
      <c r="G144" s="3"/>
      <c r="H144" s="3"/>
      <c r="I144" s="38">
        <f>VLOOKUP(A144,$T$5:$W$279,4,0)</f>
        <v>314</v>
      </c>
      <c r="J144" s="70">
        <v>0</v>
      </c>
      <c r="K144" s="3">
        <v>0</v>
      </c>
      <c r="L144" s="3">
        <v>0</v>
      </c>
      <c r="M144" s="38">
        <f>SUM(J144:L144)</f>
        <v>0</v>
      </c>
      <c r="N144" s="70"/>
      <c r="O144" s="3"/>
      <c r="P144" s="3"/>
      <c r="Q144" s="38">
        <f>M144-I144</f>
        <v>-314</v>
      </c>
      <c r="R144" s="39">
        <f>Q144/I144</f>
        <v>-1</v>
      </c>
      <c r="S144" s="67"/>
      <c r="T144" t="s">
        <v>380</v>
      </c>
      <c r="U144" t="s">
        <v>381</v>
      </c>
      <c r="V144">
        <v>139</v>
      </c>
      <c r="W144">
        <v>826</v>
      </c>
      <c r="X144">
        <v>210</v>
      </c>
      <c r="Y144" t="s">
        <v>11</v>
      </c>
    </row>
    <row r="145" spans="1:26" x14ac:dyDescent="0.25">
      <c r="A145" s="37" t="s">
        <v>205</v>
      </c>
      <c r="B145" t="s">
        <v>206</v>
      </c>
      <c r="C145">
        <v>131</v>
      </c>
      <c r="D145" t="s">
        <v>11</v>
      </c>
      <c r="E145" t="s">
        <v>11</v>
      </c>
      <c r="F145" s="70"/>
      <c r="G145" s="3"/>
      <c r="H145" s="3"/>
      <c r="I145" s="38">
        <f>VLOOKUP(A145,$T$5:$W$279,4,0)</f>
        <v>268</v>
      </c>
      <c r="J145" s="70">
        <v>960</v>
      </c>
      <c r="K145" s="3">
        <v>18</v>
      </c>
      <c r="L145" s="3">
        <v>123</v>
      </c>
      <c r="M145" s="38">
        <f>SUM(J145:L145)</f>
        <v>1101</v>
      </c>
      <c r="N145" s="70"/>
      <c r="O145" s="3"/>
      <c r="P145" s="3"/>
      <c r="Q145" s="38">
        <f>M145-I145</f>
        <v>833</v>
      </c>
      <c r="R145" s="39">
        <f>Q145/I145</f>
        <v>3.1082089552238807</v>
      </c>
      <c r="S145" s="67"/>
      <c r="T145" t="s">
        <v>382</v>
      </c>
      <c r="U145" t="s">
        <v>383</v>
      </c>
      <c r="V145">
        <v>140</v>
      </c>
      <c r="W145">
        <v>631</v>
      </c>
      <c r="X145">
        <v>211</v>
      </c>
      <c r="Y145" t="s">
        <v>11</v>
      </c>
    </row>
    <row r="146" spans="1:26" x14ac:dyDescent="0.25">
      <c r="A146" s="37" t="s">
        <v>366</v>
      </c>
      <c r="B146" t="s">
        <v>367</v>
      </c>
      <c r="C146">
        <v>132</v>
      </c>
      <c r="D146" t="s">
        <v>11</v>
      </c>
      <c r="E146" t="s">
        <v>11</v>
      </c>
      <c r="F146" s="70"/>
      <c r="G146" s="3"/>
      <c r="H146" s="3"/>
      <c r="I146" s="38">
        <f t="shared" si="21"/>
        <v>713</v>
      </c>
      <c r="J146" s="70">
        <v>555</v>
      </c>
      <c r="K146" s="3">
        <v>16</v>
      </c>
      <c r="L146" s="3">
        <v>140</v>
      </c>
      <c r="M146" s="38">
        <f t="shared" si="22"/>
        <v>711</v>
      </c>
      <c r="N146" s="70"/>
      <c r="O146" s="3"/>
      <c r="P146" s="3"/>
      <c r="Q146" s="38">
        <f t="shared" ref="Q146:Q192" si="23">M146-I146</f>
        <v>-2</v>
      </c>
      <c r="R146" s="39">
        <f t="shared" ref="R146:R193" si="24">Q146/I146</f>
        <v>-2.8050490883590462E-3</v>
      </c>
      <c r="S146" s="67"/>
      <c r="T146" t="s">
        <v>384</v>
      </c>
      <c r="U146" t="s">
        <v>385</v>
      </c>
      <c r="V146">
        <v>141</v>
      </c>
      <c r="W146">
        <v>1406</v>
      </c>
      <c r="X146">
        <v>215</v>
      </c>
      <c r="Y146" t="s">
        <v>11</v>
      </c>
    </row>
    <row r="147" spans="1:26" x14ac:dyDescent="0.25">
      <c r="A147" s="37" t="s">
        <v>368</v>
      </c>
      <c r="B147" t="s">
        <v>369</v>
      </c>
      <c r="C147">
        <v>134</v>
      </c>
      <c r="D147" t="s">
        <v>11</v>
      </c>
      <c r="E147" t="s">
        <v>11</v>
      </c>
      <c r="F147" s="70"/>
      <c r="G147" s="3"/>
      <c r="H147" s="3"/>
      <c r="I147" s="38">
        <f t="shared" si="21"/>
        <v>1246</v>
      </c>
      <c r="J147" s="70">
        <v>1065</v>
      </c>
      <c r="K147" s="3">
        <v>22</v>
      </c>
      <c r="L147" s="3">
        <v>51</v>
      </c>
      <c r="M147" s="38">
        <f t="shared" si="22"/>
        <v>1138</v>
      </c>
      <c r="N147" s="70"/>
      <c r="O147" s="3"/>
      <c r="P147" s="3"/>
      <c r="Q147" s="38">
        <f t="shared" si="23"/>
        <v>-108</v>
      </c>
      <c r="R147" s="39">
        <f t="shared" si="24"/>
        <v>-8.6677367576243974E-2</v>
      </c>
      <c r="S147" s="67"/>
      <c r="T147" t="s">
        <v>386</v>
      </c>
      <c r="U147" t="s">
        <v>387</v>
      </c>
      <c r="V147">
        <v>142</v>
      </c>
      <c r="W147">
        <v>1486</v>
      </c>
      <c r="X147">
        <v>216</v>
      </c>
      <c r="Y147" t="s">
        <v>11</v>
      </c>
    </row>
    <row r="148" spans="1:26" x14ac:dyDescent="0.25">
      <c r="A148" s="37" t="s">
        <v>370</v>
      </c>
      <c r="B148" t="s">
        <v>371</v>
      </c>
      <c r="C148">
        <v>137</v>
      </c>
      <c r="D148" t="s">
        <v>11</v>
      </c>
      <c r="E148" t="s">
        <v>11</v>
      </c>
      <c r="F148" s="70"/>
      <c r="G148" s="3"/>
      <c r="H148" s="3"/>
      <c r="I148" s="38">
        <f t="shared" si="21"/>
        <v>1166</v>
      </c>
      <c r="J148" s="70">
        <v>1079</v>
      </c>
      <c r="K148" s="3">
        <v>17</v>
      </c>
      <c r="L148" s="3">
        <v>31</v>
      </c>
      <c r="M148" s="38">
        <f t="shared" si="22"/>
        <v>1127</v>
      </c>
      <c r="N148" s="70"/>
      <c r="O148" s="3"/>
      <c r="P148" s="3"/>
      <c r="Q148" s="38">
        <f t="shared" si="23"/>
        <v>-39</v>
      </c>
      <c r="R148" s="39">
        <f t="shared" si="24"/>
        <v>-3.3447684391080618E-2</v>
      </c>
      <c r="S148" s="67"/>
      <c r="T148" t="s">
        <v>209</v>
      </c>
      <c r="U148" t="s">
        <v>210</v>
      </c>
      <c r="V148">
        <v>143</v>
      </c>
      <c r="W148">
        <v>233</v>
      </c>
      <c r="X148">
        <v>217</v>
      </c>
      <c r="Y148" t="s">
        <v>11</v>
      </c>
    </row>
    <row r="149" spans="1:26" s="35" customFormat="1" x14ac:dyDescent="0.25">
      <c r="A149" s="37" t="s">
        <v>372</v>
      </c>
      <c r="B149" t="s">
        <v>373</v>
      </c>
      <c r="C149">
        <v>171</v>
      </c>
      <c r="D149" t="s">
        <v>11</v>
      </c>
      <c r="E149" t="s">
        <v>11</v>
      </c>
      <c r="F149" s="70"/>
      <c r="G149" s="3"/>
      <c r="H149" s="3"/>
      <c r="I149" s="38">
        <f t="shared" si="21"/>
        <v>20</v>
      </c>
      <c r="J149" s="70">
        <v>0</v>
      </c>
      <c r="K149" s="3">
        <v>0</v>
      </c>
      <c r="L149" s="3">
        <v>0</v>
      </c>
      <c r="M149" s="38">
        <f t="shared" si="22"/>
        <v>0</v>
      </c>
      <c r="N149" s="70"/>
      <c r="O149" s="3"/>
      <c r="P149" s="3"/>
      <c r="Q149" s="38">
        <f t="shared" si="23"/>
        <v>-20</v>
      </c>
      <c r="R149" s="39">
        <f t="shared" si="24"/>
        <v>-1</v>
      </c>
      <c r="S149" s="67"/>
      <c r="T149" t="s">
        <v>388</v>
      </c>
      <c r="U149" t="s">
        <v>389</v>
      </c>
      <c r="V149">
        <v>144</v>
      </c>
      <c r="W149">
        <v>1121</v>
      </c>
      <c r="X149">
        <v>220</v>
      </c>
      <c r="Y149" t="s">
        <v>11</v>
      </c>
      <c r="Z149"/>
    </row>
    <row r="150" spans="1:26" x14ac:dyDescent="0.25">
      <c r="A150" s="37" t="s">
        <v>374</v>
      </c>
      <c r="B150" t="s">
        <v>375</v>
      </c>
      <c r="C150">
        <v>195</v>
      </c>
      <c r="D150" t="s">
        <v>11</v>
      </c>
      <c r="E150" t="s">
        <v>11</v>
      </c>
      <c r="F150" s="70"/>
      <c r="G150" s="3"/>
      <c r="H150" s="3"/>
      <c r="I150" s="38">
        <f t="shared" si="21"/>
        <v>0</v>
      </c>
      <c r="J150" s="70" t="s">
        <v>690</v>
      </c>
      <c r="K150" s="3" t="s">
        <v>690</v>
      </c>
      <c r="L150" s="3" t="s">
        <v>690</v>
      </c>
      <c r="M150" s="38">
        <f t="shared" si="22"/>
        <v>0</v>
      </c>
      <c r="N150" s="70"/>
      <c r="O150" s="3"/>
      <c r="P150" s="3"/>
      <c r="Q150" s="38">
        <f t="shared" si="23"/>
        <v>0</v>
      </c>
      <c r="R150" s="39" t="e">
        <f t="shared" si="24"/>
        <v>#DIV/0!</v>
      </c>
      <c r="S150" s="67"/>
      <c r="T150" t="s">
        <v>390</v>
      </c>
      <c r="U150" t="s">
        <v>391</v>
      </c>
      <c r="V150">
        <v>145</v>
      </c>
      <c r="W150">
        <v>953</v>
      </c>
      <c r="X150">
        <v>222</v>
      </c>
      <c r="Y150" t="s">
        <v>11</v>
      </c>
    </row>
    <row r="151" spans="1:26" x14ac:dyDescent="0.25">
      <c r="A151" s="37" t="s">
        <v>376</v>
      </c>
      <c r="B151" t="s">
        <v>377</v>
      </c>
      <c r="C151">
        <v>201</v>
      </c>
      <c r="D151" t="s">
        <v>11</v>
      </c>
      <c r="E151" t="s">
        <v>11</v>
      </c>
      <c r="F151" s="70"/>
      <c r="G151" s="3"/>
      <c r="H151" s="3"/>
      <c r="I151" s="38">
        <f t="shared" si="21"/>
        <v>490</v>
      </c>
      <c r="J151" s="70">
        <v>223</v>
      </c>
      <c r="K151" s="3">
        <v>1</v>
      </c>
      <c r="L151" s="3">
        <v>0</v>
      </c>
      <c r="M151" s="38">
        <f t="shared" si="22"/>
        <v>224</v>
      </c>
      <c r="N151" s="70"/>
      <c r="O151" s="3"/>
      <c r="P151" s="3"/>
      <c r="Q151" s="38">
        <f t="shared" si="23"/>
        <v>-266</v>
      </c>
      <c r="R151" s="39">
        <f t="shared" si="24"/>
        <v>-0.54285714285714282</v>
      </c>
      <c r="S151" s="67"/>
      <c r="T151" t="s">
        <v>392</v>
      </c>
      <c r="U151" t="s">
        <v>393</v>
      </c>
      <c r="V151">
        <v>146</v>
      </c>
      <c r="W151">
        <v>1370</v>
      </c>
      <c r="X151">
        <v>225</v>
      </c>
      <c r="Y151" t="s">
        <v>11</v>
      </c>
    </row>
    <row r="152" spans="1:26" x14ac:dyDescent="0.25">
      <c r="A152" s="37" t="s">
        <v>378</v>
      </c>
      <c r="B152" t="s">
        <v>379</v>
      </c>
      <c r="C152">
        <v>202</v>
      </c>
      <c r="D152" t="s">
        <v>11</v>
      </c>
      <c r="E152" t="s">
        <v>11</v>
      </c>
      <c r="F152" s="70"/>
      <c r="G152" s="3"/>
      <c r="H152" s="3"/>
      <c r="I152" s="38">
        <f t="shared" si="21"/>
        <v>134</v>
      </c>
      <c r="J152" s="70">
        <v>449</v>
      </c>
      <c r="K152" s="3">
        <v>2</v>
      </c>
      <c r="L152" s="3">
        <v>0</v>
      </c>
      <c r="M152" s="38">
        <f t="shared" si="22"/>
        <v>451</v>
      </c>
      <c r="N152" s="70"/>
      <c r="O152" s="3"/>
      <c r="P152" s="3"/>
      <c r="Q152" s="38">
        <f t="shared" si="23"/>
        <v>317</v>
      </c>
      <c r="R152" s="39">
        <f t="shared" si="24"/>
        <v>2.3656716417910446</v>
      </c>
      <c r="S152" s="67"/>
      <c r="T152" t="s">
        <v>394</v>
      </c>
      <c r="U152" t="s">
        <v>395</v>
      </c>
      <c r="V152">
        <v>147</v>
      </c>
      <c r="W152">
        <v>551</v>
      </c>
      <c r="X152">
        <v>226</v>
      </c>
      <c r="Y152" t="s">
        <v>11</v>
      </c>
    </row>
    <row r="153" spans="1:26" x14ac:dyDescent="0.25">
      <c r="A153" s="37" t="s">
        <v>380</v>
      </c>
      <c r="B153" t="s">
        <v>381</v>
      </c>
      <c r="C153">
        <v>210</v>
      </c>
      <c r="D153" t="s">
        <v>11</v>
      </c>
      <c r="E153" t="s">
        <v>11</v>
      </c>
      <c r="F153" s="70"/>
      <c r="G153" s="3"/>
      <c r="H153" s="3"/>
      <c r="I153" s="38">
        <f t="shared" si="21"/>
        <v>826</v>
      </c>
      <c r="J153" s="70">
        <v>1104</v>
      </c>
      <c r="K153" s="3">
        <v>3</v>
      </c>
      <c r="L153" s="3">
        <v>27</v>
      </c>
      <c r="M153" s="38">
        <f t="shared" si="22"/>
        <v>1134</v>
      </c>
      <c r="N153" s="70"/>
      <c r="O153" s="3"/>
      <c r="P153" s="3"/>
      <c r="Q153" s="38">
        <f t="shared" si="23"/>
        <v>308</v>
      </c>
      <c r="R153" s="39">
        <f t="shared" si="24"/>
        <v>0.3728813559322034</v>
      </c>
      <c r="S153" s="67"/>
      <c r="T153" t="s">
        <v>396</v>
      </c>
      <c r="U153" t="s">
        <v>397</v>
      </c>
      <c r="V153">
        <v>148</v>
      </c>
      <c r="W153">
        <v>837</v>
      </c>
      <c r="X153">
        <v>230</v>
      </c>
      <c r="Y153" t="s">
        <v>11</v>
      </c>
    </row>
    <row r="154" spans="1:26" x14ac:dyDescent="0.25">
      <c r="A154" s="37" t="s">
        <v>382</v>
      </c>
      <c r="B154" t="s">
        <v>383</v>
      </c>
      <c r="C154">
        <v>211</v>
      </c>
      <c r="D154" t="s">
        <v>11</v>
      </c>
      <c r="E154" t="s">
        <v>11</v>
      </c>
      <c r="F154" s="70"/>
      <c r="G154" s="3"/>
      <c r="H154" s="3"/>
      <c r="I154" s="38">
        <f t="shared" si="21"/>
        <v>631</v>
      </c>
      <c r="J154" s="70">
        <v>1285</v>
      </c>
      <c r="K154" s="3">
        <v>7</v>
      </c>
      <c r="L154" s="3">
        <v>36</v>
      </c>
      <c r="M154" s="38">
        <f t="shared" si="22"/>
        <v>1328</v>
      </c>
      <c r="N154" s="70"/>
      <c r="O154" s="3"/>
      <c r="P154" s="3"/>
      <c r="Q154" s="38">
        <f t="shared" si="23"/>
        <v>697</v>
      </c>
      <c r="R154" s="39">
        <f t="shared" si="24"/>
        <v>1.1045958795562598</v>
      </c>
      <c r="S154" s="67"/>
      <c r="T154" t="s">
        <v>398</v>
      </c>
      <c r="U154" t="s">
        <v>399</v>
      </c>
      <c r="V154">
        <v>149</v>
      </c>
      <c r="W154">
        <v>395</v>
      </c>
      <c r="X154">
        <v>236</v>
      </c>
      <c r="Y154" t="s">
        <v>11</v>
      </c>
    </row>
    <row r="155" spans="1:26" x14ac:dyDescent="0.25">
      <c r="A155" s="37" t="s">
        <v>384</v>
      </c>
      <c r="B155" t="s">
        <v>385</v>
      </c>
      <c r="C155">
        <v>215</v>
      </c>
      <c r="D155" t="s">
        <v>11</v>
      </c>
      <c r="E155" t="s">
        <v>11</v>
      </c>
      <c r="F155" s="70"/>
      <c r="G155" s="3"/>
      <c r="H155" s="3"/>
      <c r="I155" s="38">
        <f t="shared" si="21"/>
        <v>1406</v>
      </c>
      <c r="J155" s="70">
        <v>1722</v>
      </c>
      <c r="K155" s="3">
        <v>17</v>
      </c>
      <c r="L155" s="3">
        <v>39</v>
      </c>
      <c r="M155" s="38">
        <f t="shared" si="22"/>
        <v>1778</v>
      </c>
      <c r="N155" s="70"/>
      <c r="O155" s="3"/>
      <c r="P155" s="3"/>
      <c r="Q155" s="38">
        <f t="shared" si="23"/>
        <v>372</v>
      </c>
      <c r="R155" s="39">
        <f t="shared" si="24"/>
        <v>0.26458036984352773</v>
      </c>
      <c r="S155" s="67"/>
      <c r="T155" t="s">
        <v>400</v>
      </c>
      <c r="U155" t="s">
        <v>401</v>
      </c>
      <c r="V155">
        <v>150</v>
      </c>
      <c r="W155">
        <v>1187</v>
      </c>
      <c r="X155">
        <v>238</v>
      </c>
      <c r="Y155" t="s">
        <v>11</v>
      </c>
    </row>
    <row r="156" spans="1:26" x14ac:dyDescent="0.25">
      <c r="A156" s="37" t="s">
        <v>386</v>
      </c>
      <c r="B156" t="s">
        <v>387</v>
      </c>
      <c r="C156">
        <v>216</v>
      </c>
      <c r="D156" t="s">
        <v>11</v>
      </c>
      <c r="E156" t="s">
        <v>11</v>
      </c>
      <c r="F156" s="70"/>
      <c r="G156" s="3"/>
      <c r="H156" s="3"/>
      <c r="I156" s="38">
        <f t="shared" si="21"/>
        <v>1486</v>
      </c>
      <c r="J156" s="70">
        <v>1291</v>
      </c>
      <c r="K156" s="3">
        <v>6</v>
      </c>
      <c r="L156" s="3">
        <v>3</v>
      </c>
      <c r="M156" s="38">
        <f t="shared" si="22"/>
        <v>1300</v>
      </c>
      <c r="N156" s="70"/>
      <c r="O156" s="3"/>
      <c r="P156" s="3"/>
      <c r="Q156" s="38">
        <f t="shared" si="23"/>
        <v>-186</v>
      </c>
      <c r="R156" s="39">
        <f t="shared" si="24"/>
        <v>-0.12516823687752354</v>
      </c>
      <c r="S156" s="67"/>
      <c r="T156" t="s">
        <v>402</v>
      </c>
      <c r="U156" t="s">
        <v>403</v>
      </c>
      <c r="V156">
        <v>151</v>
      </c>
      <c r="W156">
        <v>2101</v>
      </c>
      <c r="X156">
        <v>240</v>
      </c>
      <c r="Y156" t="s">
        <v>11</v>
      </c>
    </row>
    <row r="157" spans="1:26" x14ac:dyDescent="0.25">
      <c r="A157" s="37" t="s">
        <v>209</v>
      </c>
      <c r="B157" t="s">
        <v>210</v>
      </c>
      <c r="C157">
        <v>217</v>
      </c>
      <c r="D157" t="s">
        <v>11</v>
      </c>
      <c r="E157" t="s">
        <v>11</v>
      </c>
      <c r="F157" s="70"/>
      <c r="G157" s="3"/>
      <c r="H157" s="3"/>
      <c r="I157" s="38">
        <f>VLOOKUP(A157,$T$5:$W$279,4,0)</f>
        <v>233</v>
      </c>
      <c r="J157" s="70">
        <v>529</v>
      </c>
      <c r="K157" s="3">
        <v>4</v>
      </c>
      <c r="L157" s="3">
        <v>20</v>
      </c>
      <c r="M157" s="38">
        <f>SUM(J157:L157)</f>
        <v>553</v>
      </c>
      <c r="N157" s="70"/>
      <c r="O157" s="3"/>
      <c r="P157" s="3"/>
      <c r="Q157" s="38">
        <f>M157-I157</f>
        <v>320</v>
      </c>
      <c r="R157" s="39">
        <f>Q157/I157</f>
        <v>1.3733905579399142</v>
      </c>
      <c r="S157" s="67"/>
      <c r="T157" t="s">
        <v>404</v>
      </c>
      <c r="U157" t="s">
        <v>405</v>
      </c>
      <c r="V157">
        <v>152</v>
      </c>
      <c r="W157">
        <v>109</v>
      </c>
      <c r="X157">
        <v>245</v>
      </c>
      <c r="Y157" t="s">
        <v>11</v>
      </c>
    </row>
    <row r="158" spans="1:26" x14ac:dyDescent="0.25">
      <c r="A158" s="37" t="s">
        <v>388</v>
      </c>
      <c r="B158" t="s">
        <v>389</v>
      </c>
      <c r="C158">
        <v>220</v>
      </c>
      <c r="D158" t="s">
        <v>11</v>
      </c>
      <c r="E158" t="s">
        <v>11</v>
      </c>
      <c r="F158" s="70"/>
      <c r="G158" s="3"/>
      <c r="H158" s="3"/>
      <c r="I158" s="38">
        <f t="shared" si="21"/>
        <v>1121</v>
      </c>
      <c r="J158" s="70">
        <v>766</v>
      </c>
      <c r="K158" s="3">
        <v>27</v>
      </c>
      <c r="L158" s="3">
        <v>791</v>
      </c>
      <c r="M158" s="38">
        <f t="shared" si="22"/>
        <v>1584</v>
      </c>
      <c r="N158" s="70"/>
      <c r="O158" s="3"/>
      <c r="P158" s="3"/>
      <c r="Q158" s="38">
        <f t="shared" si="23"/>
        <v>463</v>
      </c>
      <c r="R158" s="39">
        <f t="shared" si="24"/>
        <v>0.41302408563782339</v>
      </c>
      <c r="S158" s="67"/>
      <c r="T158" t="s">
        <v>406</v>
      </c>
      <c r="U158" t="s">
        <v>407</v>
      </c>
      <c r="V158">
        <v>153</v>
      </c>
      <c r="W158">
        <v>1173</v>
      </c>
      <c r="X158">
        <v>350</v>
      </c>
      <c r="Y158" t="s">
        <v>11</v>
      </c>
    </row>
    <row r="159" spans="1:26" x14ac:dyDescent="0.25">
      <c r="A159" s="37" t="s">
        <v>390</v>
      </c>
      <c r="B159" t="s">
        <v>391</v>
      </c>
      <c r="C159">
        <v>222</v>
      </c>
      <c r="D159" t="s">
        <v>11</v>
      </c>
      <c r="E159" t="s">
        <v>11</v>
      </c>
      <c r="F159" s="70"/>
      <c r="G159" s="3"/>
      <c r="H159" s="3"/>
      <c r="I159" s="38">
        <f t="shared" si="21"/>
        <v>953</v>
      </c>
      <c r="J159" s="70">
        <v>1372</v>
      </c>
      <c r="K159" s="3">
        <v>16</v>
      </c>
      <c r="L159" s="3">
        <v>2</v>
      </c>
      <c r="M159" s="38">
        <f t="shared" si="22"/>
        <v>1390</v>
      </c>
      <c r="N159" s="70"/>
      <c r="O159" s="3"/>
      <c r="P159" s="3"/>
      <c r="Q159" s="38">
        <f t="shared" si="23"/>
        <v>437</v>
      </c>
      <c r="R159" s="39">
        <f t="shared" si="24"/>
        <v>0.45855194123819515</v>
      </c>
      <c r="S159" s="67"/>
      <c r="T159" t="s">
        <v>211</v>
      </c>
      <c r="U159" t="s">
        <v>212</v>
      </c>
      <c r="V159">
        <v>154</v>
      </c>
      <c r="W159">
        <v>25</v>
      </c>
      <c r="X159">
        <v>351</v>
      </c>
      <c r="Y159" t="s">
        <v>11</v>
      </c>
    </row>
    <row r="160" spans="1:26" x14ac:dyDescent="0.25">
      <c r="A160" s="37" t="s">
        <v>392</v>
      </c>
      <c r="B160" t="s">
        <v>393</v>
      </c>
      <c r="C160">
        <v>225</v>
      </c>
      <c r="D160" t="s">
        <v>11</v>
      </c>
      <c r="E160" t="s">
        <v>11</v>
      </c>
      <c r="F160" s="70"/>
      <c r="G160" s="3"/>
      <c r="H160" s="3"/>
      <c r="I160" s="38">
        <f t="shared" si="21"/>
        <v>1370</v>
      </c>
      <c r="J160" s="70">
        <v>0</v>
      </c>
      <c r="K160" s="3">
        <v>0</v>
      </c>
      <c r="L160" s="3">
        <v>0</v>
      </c>
      <c r="M160" s="38">
        <f t="shared" si="22"/>
        <v>0</v>
      </c>
      <c r="N160" s="70"/>
      <c r="O160" s="3"/>
      <c r="P160" s="3"/>
      <c r="Q160" s="38">
        <f t="shared" si="23"/>
        <v>-1370</v>
      </c>
      <c r="R160" s="39">
        <f t="shared" si="24"/>
        <v>-1</v>
      </c>
      <c r="S160" s="67"/>
      <c r="T160" t="s">
        <v>215</v>
      </c>
      <c r="U160" t="s">
        <v>676</v>
      </c>
      <c r="V160">
        <v>155</v>
      </c>
      <c r="W160">
        <v>659</v>
      </c>
      <c r="X160">
        <v>354</v>
      </c>
      <c r="Y160" t="s">
        <v>11</v>
      </c>
    </row>
    <row r="161" spans="1:25" x14ac:dyDescent="0.25">
      <c r="A161" s="37" t="s">
        <v>394</v>
      </c>
      <c r="B161" t="s">
        <v>395</v>
      </c>
      <c r="C161">
        <v>226</v>
      </c>
      <c r="D161" t="s">
        <v>11</v>
      </c>
      <c r="E161" t="s">
        <v>11</v>
      </c>
      <c r="F161" s="70"/>
      <c r="G161" s="3"/>
      <c r="H161" s="3"/>
      <c r="I161" s="38">
        <f t="shared" si="21"/>
        <v>551</v>
      </c>
      <c r="J161" s="70">
        <v>528</v>
      </c>
      <c r="K161" s="3">
        <v>8</v>
      </c>
      <c r="L161" s="3">
        <v>10</v>
      </c>
      <c r="M161" s="38">
        <f t="shared" si="22"/>
        <v>546</v>
      </c>
      <c r="N161" s="70"/>
      <c r="O161" s="3"/>
      <c r="P161" s="3"/>
      <c r="Q161" s="38">
        <f t="shared" si="23"/>
        <v>-5</v>
      </c>
      <c r="R161" s="39">
        <f t="shared" si="24"/>
        <v>-9.0744101633393835E-3</v>
      </c>
      <c r="S161" s="67"/>
      <c r="T161" t="s">
        <v>408</v>
      </c>
      <c r="U161" t="s">
        <v>409</v>
      </c>
      <c r="V161">
        <v>156</v>
      </c>
      <c r="W161">
        <v>1050</v>
      </c>
      <c r="X161">
        <v>411</v>
      </c>
      <c r="Y161" t="s">
        <v>11</v>
      </c>
    </row>
    <row r="162" spans="1:25" x14ac:dyDescent="0.25">
      <c r="A162" s="37" t="s">
        <v>396</v>
      </c>
      <c r="B162" t="s">
        <v>397</v>
      </c>
      <c r="C162">
        <v>230</v>
      </c>
      <c r="D162" t="s">
        <v>11</v>
      </c>
      <c r="E162" t="s">
        <v>11</v>
      </c>
      <c r="F162" s="70"/>
      <c r="G162" s="3"/>
      <c r="H162" s="3"/>
      <c r="I162" s="38">
        <f t="shared" si="21"/>
        <v>837</v>
      </c>
      <c r="J162" s="70">
        <v>2611</v>
      </c>
      <c r="K162" s="3">
        <v>13</v>
      </c>
      <c r="L162" s="3">
        <v>12</v>
      </c>
      <c r="M162" s="38">
        <f t="shared" si="22"/>
        <v>2636</v>
      </c>
      <c r="N162" s="70"/>
      <c r="O162" s="3"/>
      <c r="P162" s="3"/>
      <c r="Q162" s="38">
        <f t="shared" si="23"/>
        <v>1799</v>
      </c>
      <c r="R162" s="39">
        <f t="shared" si="24"/>
        <v>2.149342891278375</v>
      </c>
      <c r="S162" s="67"/>
      <c r="T162" t="s">
        <v>219</v>
      </c>
      <c r="U162" t="s">
        <v>220</v>
      </c>
      <c r="V162">
        <v>157</v>
      </c>
      <c r="W162">
        <v>312</v>
      </c>
      <c r="X162">
        <v>424</v>
      </c>
      <c r="Y162" t="s">
        <v>11</v>
      </c>
    </row>
    <row r="163" spans="1:25" x14ac:dyDescent="0.25">
      <c r="A163" s="37" t="s">
        <v>398</v>
      </c>
      <c r="B163" t="s">
        <v>399</v>
      </c>
      <c r="C163">
        <v>236</v>
      </c>
      <c r="D163" t="s">
        <v>11</v>
      </c>
      <c r="E163" t="s">
        <v>11</v>
      </c>
      <c r="F163" s="70"/>
      <c r="G163" s="3"/>
      <c r="H163" s="3"/>
      <c r="I163" s="38">
        <f t="shared" si="21"/>
        <v>395</v>
      </c>
      <c r="J163" s="70">
        <v>529</v>
      </c>
      <c r="K163" s="3">
        <v>15</v>
      </c>
      <c r="L163" s="3">
        <v>6</v>
      </c>
      <c r="M163" s="38">
        <f t="shared" si="22"/>
        <v>550</v>
      </c>
      <c r="N163" s="70"/>
      <c r="O163" s="3"/>
      <c r="P163" s="3"/>
      <c r="Q163" s="38">
        <f t="shared" si="23"/>
        <v>155</v>
      </c>
      <c r="R163" s="39">
        <f t="shared" si="24"/>
        <v>0.39240506329113922</v>
      </c>
      <c r="S163" s="67"/>
      <c r="T163" t="s">
        <v>410</v>
      </c>
      <c r="U163" t="s">
        <v>677</v>
      </c>
      <c r="V163">
        <v>158</v>
      </c>
      <c r="W163">
        <v>1557</v>
      </c>
      <c r="X163">
        <v>426</v>
      </c>
      <c r="Y163" t="s">
        <v>11</v>
      </c>
    </row>
    <row r="164" spans="1:25" x14ac:dyDescent="0.25">
      <c r="A164" s="37" t="s">
        <v>400</v>
      </c>
      <c r="B164" t="s">
        <v>401</v>
      </c>
      <c r="C164">
        <v>238</v>
      </c>
      <c r="D164" t="s">
        <v>11</v>
      </c>
      <c r="E164" t="s">
        <v>11</v>
      </c>
      <c r="F164" s="70"/>
      <c r="G164" s="3"/>
      <c r="H164" s="3"/>
      <c r="I164" s="38">
        <f t="shared" si="21"/>
        <v>1187</v>
      </c>
      <c r="J164" s="70">
        <v>845</v>
      </c>
      <c r="K164" s="3">
        <v>68</v>
      </c>
      <c r="L164" s="3">
        <v>43</v>
      </c>
      <c r="M164" s="38">
        <f t="shared" si="22"/>
        <v>956</v>
      </c>
      <c r="N164" s="70"/>
      <c r="O164" s="3"/>
      <c r="P164" s="3"/>
      <c r="Q164" s="38">
        <f t="shared" si="23"/>
        <v>-231</v>
      </c>
      <c r="R164" s="39">
        <f t="shared" si="24"/>
        <v>-0.19460825610783489</v>
      </c>
      <c r="S164" s="67"/>
      <c r="T164" t="s">
        <v>223</v>
      </c>
      <c r="U164" t="s">
        <v>224</v>
      </c>
      <c r="V164">
        <v>159</v>
      </c>
      <c r="W164">
        <v>108</v>
      </c>
      <c r="X164">
        <v>428</v>
      </c>
      <c r="Y164" t="s">
        <v>11</v>
      </c>
    </row>
    <row r="165" spans="1:25" x14ac:dyDescent="0.25">
      <c r="A165" s="37" t="s">
        <v>402</v>
      </c>
      <c r="B165" t="s">
        <v>403</v>
      </c>
      <c r="C165">
        <v>240</v>
      </c>
      <c r="D165" t="s">
        <v>11</v>
      </c>
      <c r="E165" t="s">
        <v>11</v>
      </c>
      <c r="F165" s="70"/>
      <c r="G165" s="3"/>
      <c r="H165" s="3"/>
      <c r="I165" s="38">
        <f t="shared" si="21"/>
        <v>2101</v>
      </c>
      <c r="J165" s="70">
        <v>2197</v>
      </c>
      <c r="K165" s="3">
        <v>26</v>
      </c>
      <c r="L165" s="3">
        <v>40</v>
      </c>
      <c r="M165" s="38">
        <f t="shared" si="22"/>
        <v>2263</v>
      </c>
      <c r="N165" s="70"/>
      <c r="O165" s="3"/>
      <c r="P165" s="3"/>
      <c r="Q165" s="38">
        <f t="shared" si="23"/>
        <v>162</v>
      </c>
      <c r="R165" s="39">
        <f t="shared" si="24"/>
        <v>7.710613993336507E-2</v>
      </c>
      <c r="S165" s="67"/>
      <c r="T165" t="s">
        <v>412</v>
      </c>
      <c r="U165" t="s">
        <v>678</v>
      </c>
      <c r="V165">
        <v>160</v>
      </c>
      <c r="W165">
        <v>1502</v>
      </c>
      <c r="X165">
        <v>429</v>
      </c>
      <c r="Y165" t="s">
        <v>11</v>
      </c>
    </row>
    <row r="166" spans="1:25" x14ac:dyDescent="0.25">
      <c r="A166" s="37" t="s">
        <v>404</v>
      </c>
      <c r="B166" t="s">
        <v>405</v>
      </c>
      <c r="C166">
        <v>245</v>
      </c>
      <c r="D166" t="s">
        <v>11</v>
      </c>
      <c r="E166" t="s">
        <v>11</v>
      </c>
      <c r="F166" s="70"/>
      <c r="G166" s="3"/>
      <c r="H166" s="3"/>
      <c r="I166" s="38">
        <f t="shared" si="21"/>
        <v>109</v>
      </c>
      <c r="J166" s="70">
        <v>1288</v>
      </c>
      <c r="K166" s="3">
        <v>11</v>
      </c>
      <c r="L166" s="3">
        <v>20</v>
      </c>
      <c r="M166" s="38">
        <f t="shared" si="22"/>
        <v>1319</v>
      </c>
      <c r="N166" s="70"/>
      <c r="O166" s="3"/>
      <c r="P166" s="3"/>
      <c r="Q166" s="38">
        <f t="shared" si="23"/>
        <v>1210</v>
      </c>
      <c r="R166" s="39">
        <f t="shared" si="24"/>
        <v>11.100917431192661</v>
      </c>
      <c r="S166" s="67"/>
      <c r="T166" t="s">
        <v>414</v>
      </c>
      <c r="U166" t="s">
        <v>415</v>
      </c>
      <c r="V166">
        <v>161</v>
      </c>
      <c r="W166">
        <v>1005</v>
      </c>
      <c r="X166">
        <v>430</v>
      </c>
      <c r="Y166" t="s">
        <v>11</v>
      </c>
    </row>
    <row r="167" spans="1:25" x14ac:dyDescent="0.25">
      <c r="A167" s="37" t="s">
        <v>406</v>
      </c>
      <c r="B167" t="s">
        <v>407</v>
      </c>
      <c r="C167">
        <v>350</v>
      </c>
      <c r="D167" t="s">
        <v>11</v>
      </c>
      <c r="E167" t="s">
        <v>11</v>
      </c>
      <c r="F167" s="70"/>
      <c r="G167" s="3"/>
      <c r="H167" s="3"/>
      <c r="I167" s="38">
        <f t="shared" si="21"/>
        <v>1173</v>
      </c>
      <c r="J167" s="70">
        <v>0</v>
      </c>
      <c r="K167" s="3">
        <v>0</v>
      </c>
      <c r="L167" s="3">
        <v>0</v>
      </c>
      <c r="M167" s="38">
        <f t="shared" si="22"/>
        <v>0</v>
      </c>
      <c r="N167" s="70"/>
      <c r="O167" s="3"/>
      <c r="P167" s="3"/>
      <c r="Q167" s="38">
        <f t="shared" si="23"/>
        <v>-1173</v>
      </c>
      <c r="R167" s="39">
        <f t="shared" si="24"/>
        <v>-1</v>
      </c>
      <c r="S167" s="67"/>
      <c r="T167" t="s">
        <v>416</v>
      </c>
      <c r="U167" t="s">
        <v>679</v>
      </c>
      <c r="V167">
        <v>162</v>
      </c>
      <c r="W167">
        <v>993</v>
      </c>
      <c r="X167">
        <v>435</v>
      </c>
      <c r="Y167" t="s">
        <v>11</v>
      </c>
    </row>
    <row r="168" spans="1:25" x14ac:dyDescent="0.25">
      <c r="A168" s="37" t="s">
        <v>211</v>
      </c>
      <c r="B168" t="s">
        <v>212</v>
      </c>
      <c r="C168">
        <v>351</v>
      </c>
      <c r="D168" t="s">
        <v>11</v>
      </c>
      <c r="E168" t="s">
        <v>11</v>
      </c>
      <c r="F168" s="70"/>
      <c r="G168" s="3"/>
      <c r="H168" s="3"/>
      <c r="I168" s="38">
        <f>VLOOKUP(A168,$T$5:$W$279,4,0)</f>
        <v>25</v>
      </c>
      <c r="J168" s="70">
        <v>38</v>
      </c>
      <c r="K168" s="3">
        <v>2</v>
      </c>
      <c r="L168" s="3">
        <v>0</v>
      </c>
      <c r="M168" s="38">
        <f>SUM(J168:L168)</f>
        <v>40</v>
      </c>
      <c r="N168" s="70"/>
      <c r="O168" s="3"/>
      <c r="P168" s="3"/>
      <c r="Q168" s="38">
        <f>M168-I168</f>
        <v>15</v>
      </c>
      <c r="R168" s="39">
        <f>Q168/I168</f>
        <v>0.6</v>
      </c>
      <c r="S168" s="67"/>
      <c r="T168" t="s">
        <v>418</v>
      </c>
      <c r="U168" t="s">
        <v>680</v>
      </c>
      <c r="V168">
        <v>163</v>
      </c>
      <c r="W168">
        <v>692</v>
      </c>
      <c r="X168">
        <v>436</v>
      </c>
      <c r="Y168" t="s">
        <v>11</v>
      </c>
    </row>
    <row r="169" spans="1:25" x14ac:dyDescent="0.25">
      <c r="A169" s="37" t="s">
        <v>408</v>
      </c>
      <c r="B169" t="s">
        <v>409</v>
      </c>
      <c r="C169">
        <v>411</v>
      </c>
      <c r="D169" t="s">
        <v>11</v>
      </c>
      <c r="E169" t="s">
        <v>11</v>
      </c>
      <c r="F169" s="70"/>
      <c r="G169" s="3"/>
      <c r="H169" s="3"/>
      <c r="I169" s="38">
        <f t="shared" si="21"/>
        <v>1050</v>
      </c>
      <c r="J169" s="70">
        <v>0</v>
      </c>
      <c r="K169" s="3">
        <v>0</v>
      </c>
      <c r="L169" s="3">
        <v>0</v>
      </c>
      <c r="M169" s="38">
        <f t="shared" si="22"/>
        <v>0</v>
      </c>
      <c r="N169" s="70"/>
      <c r="O169" s="3"/>
      <c r="P169" s="3"/>
      <c r="Q169" s="38">
        <f t="shared" si="23"/>
        <v>-1050</v>
      </c>
      <c r="R169" s="39">
        <f t="shared" si="24"/>
        <v>-1</v>
      </c>
      <c r="S169" s="67"/>
      <c r="T169" t="s">
        <v>225</v>
      </c>
      <c r="U169" t="s">
        <v>226</v>
      </c>
      <c r="V169">
        <v>164</v>
      </c>
      <c r="W169">
        <v>83</v>
      </c>
      <c r="X169">
        <v>439</v>
      </c>
      <c r="Y169" t="s">
        <v>11</v>
      </c>
    </row>
    <row r="170" spans="1:25" x14ac:dyDescent="0.25">
      <c r="A170" s="37" t="s">
        <v>219</v>
      </c>
      <c r="B170" t="s">
        <v>220</v>
      </c>
      <c r="C170">
        <v>424</v>
      </c>
      <c r="D170" t="s">
        <v>11</v>
      </c>
      <c r="E170" t="s">
        <v>11</v>
      </c>
      <c r="F170" s="70"/>
      <c r="G170" s="3"/>
      <c r="H170" s="3"/>
      <c r="I170" s="38">
        <f>VLOOKUP(A170,$T$5:$W$279,4,0)</f>
        <v>312</v>
      </c>
      <c r="J170" s="70">
        <v>0</v>
      </c>
      <c r="K170" s="3">
        <v>0</v>
      </c>
      <c r="L170" s="3">
        <v>0</v>
      </c>
      <c r="M170" s="38">
        <f>SUM(J170:L170)</f>
        <v>0</v>
      </c>
      <c r="N170" s="70"/>
      <c r="O170" s="3"/>
      <c r="P170" s="3"/>
      <c r="Q170" s="38">
        <f>M170-I170</f>
        <v>-312</v>
      </c>
      <c r="R170" s="39">
        <f>Q170/I170</f>
        <v>-1</v>
      </c>
      <c r="S170" s="67"/>
      <c r="T170" t="s">
        <v>420</v>
      </c>
      <c r="U170" t="s">
        <v>421</v>
      </c>
      <c r="V170">
        <v>165</v>
      </c>
      <c r="W170">
        <v>1084</v>
      </c>
      <c r="X170">
        <v>441</v>
      </c>
      <c r="Y170" t="s">
        <v>11</v>
      </c>
    </row>
    <row r="171" spans="1:25" x14ac:dyDescent="0.25">
      <c r="A171" s="37" t="s">
        <v>412</v>
      </c>
      <c r="B171" t="s">
        <v>413</v>
      </c>
      <c r="C171">
        <v>429</v>
      </c>
      <c r="D171" t="s">
        <v>11</v>
      </c>
      <c r="E171" t="s">
        <v>11</v>
      </c>
      <c r="F171" s="70"/>
      <c r="G171" s="3"/>
      <c r="H171" s="3"/>
      <c r="I171" s="38">
        <f t="shared" si="21"/>
        <v>1502</v>
      </c>
      <c r="J171" s="70">
        <v>1946</v>
      </c>
      <c r="K171" s="3">
        <v>17</v>
      </c>
      <c r="L171" s="3">
        <v>17</v>
      </c>
      <c r="M171" s="38">
        <f t="shared" si="22"/>
        <v>1980</v>
      </c>
      <c r="N171" s="70"/>
      <c r="O171" s="3"/>
      <c r="P171" s="3"/>
      <c r="Q171" s="38">
        <f t="shared" si="23"/>
        <v>478</v>
      </c>
      <c r="R171" s="39">
        <f t="shared" si="24"/>
        <v>0.31824234354194408</v>
      </c>
      <c r="S171" s="67"/>
      <c r="T171" t="s">
        <v>422</v>
      </c>
      <c r="U171" t="s">
        <v>423</v>
      </c>
      <c r="V171">
        <v>165</v>
      </c>
      <c r="W171">
        <v>0</v>
      </c>
      <c r="X171">
        <v>441442</v>
      </c>
      <c r="Y171" t="s">
        <v>11</v>
      </c>
    </row>
    <row r="172" spans="1:25" x14ac:dyDescent="0.25">
      <c r="A172" s="37" t="s">
        <v>414</v>
      </c>
      <c r="B172" t="s">
        <v>415</v>
      </c>
      <c r="C172">
        <v>430</v>
      </c>
      <c r="D172" t="s">
        <v>11</v>
      </c>
      <c r="E172" t="s">
        <v>11</v>
      </c>
      <c r="F172" s="70"/>
      <c r="G172" s="3"/>
      <c r="H172" s="3"/>
      <c r="I172" s="38">
        <f t="shared" si="21"/>
        <v>1005</v>
      </c>
      <c r="J172" s="70">
        <v>0</v>
      </c>
      <c r="K172" s="3">
        <v>0</v>
      </c>
      <c r="L172" s="3">
        <v>0</v>
      </c>
      <c r="M172" s="38">
        <f t="shared" si="22"/>
        <v>0</v>
      </c>
      <c r="N172" s="70"/>
      <c r="O172" s="3"/>
      <c r="P172" s="3"/>
      <c r="Q172" s="38">
        <f t="shared" si="23"/>
        <v>-1005</v>
      </c>
      <c r="R172" s="39">
        <f t="shared" si="24"/>
        <v>-1</v>
      </c>
      <c r="S172" s="67"/>
      <c r="T172" t="s">
        <v>424</v>
      </c>
      <c r="U172" t="s">
        <v>425</v>
      </c>
      <c r="V172">
        <v>165</v>
      </c>
      <c r="W172">
        <v>2091</v>
      </c>
      <c r="X172">
        <v>442</v>
      </c>
      <c r="Y172" t="s">
        <v>11</v>
      </c>
    </row>
    <row r="173" spans="1:25" x14ac:dyDescent="0.25">
      <c r="A173" s="37" t="s">
        <v>416</v>
      </c>
      <c r="B173" t="s">
        <v>417</v>
      </c>
      <c r="C173">
        <v>435</v>
      </c>
      <c r="D173" t="s">
        <v>11</v>
      </c>
      <c r="E173" t="s">
        <v>11</v>
      </c>
      <c r="F173" s="70"/>
      <c r="G173" s="3"/>
      <c r="H173" s="3"/>
      <c r="I173" s="38">
        <f t="shared" si="21"/>
        <v>993</v>
      </c>
      <c r="J173" s="70">
        <v>1240</v>
      </c>
      <c r="K173" s="3">
        <v>31</v>
      </c>
      <c r="L173" s="3">
        <v>14</v>
      </c>
      <c r="M173" s="38">
        <f t="shared" si="22"/>
        <v>1285</v>
      </c>
      <c r="N173" s="70"/>
      <c r="O173" s="3"/>
      <c r="P173" s="3"/>
      <c r="Q173" s="38">
        <f t="shared" si="23"/>
        <v>292</v>
      </c>
      <c r="R173" s="39">
        <f t="shared" si="24"/>
        <v>0.29405840886203422</v>
      </c>
      <c r="S173" s="67"/>
      <c r="T173" t="s">
        <v>426</v>
      </c>
      <c r="U173" t="s">
        <v>427</v>
      </c>
      <c r="V173">
        <v>168</v>
      </c>
      <c r="W173">
        <v>1938</v>
      </c>
      <c r="X173">
        <v>450</v>
      </c>
      <c r="Y173" t="s">
        <v>11</v>
      </c>
    </row>
    <row r="174" spans="1:25" x14ac:dyDescent="0.25">
      <c r="A174" s="37" t="s">
        <v>418</v>
      </c>
      <c r="B174" t="s">
        <v>419</v>
      </c>
      <c r="C174">
        <v>436</v>
      </c>
      <c r="D174" t="s">
        <v>11</v>
      </c>
      <c r="E174" t="s">
        <v>11</v>
      </c>
      <c r="F174" s="70"/>
      <c r="G174" s="3"/>
      <c r="H174" s="3"/>
      <c r="I174" s="38">
        <f t="shared" si="21"/>
        <v>692</v>
      </c>
      <c r="J174" s="70">
        <v>978</v>
      </c>
      <c r="K174" s="3">
        <v>17</v>
      </c>
      <c r="L174" s="3">
        <v>39</v>
      </c>
      <c r="M174" s="38">
        <f t="shared" si="22"/>
        <v>1034</v>
      </c>
      <c r="N174" s="70"/>
      <c r="O174" s="3"/>
      <c r="P174" s="3"/>
      <c r="Q174" s="38">
        <f t="shared" si="23"/>
        <v>342</v>
      </c>
      <c r="R174" s="39">
        <f t="shared" si="24"/>
        <v>0.49421965317919075</v>
      </c>
      <c r="S174" s="67"/>
      <c r="T174" t="s">
        <v>229</v>
      </c>
      <c r="U174" t="s">
        <v>230</v>
      </c>
      <c r="V174">
        <v>169</v>
      </c>
      <c r="W174">
        <v>49</v>
      </c>
      <c r="X174">
        <v>451</v>
      </c>
      <c r="Y174" t="s">
        <v>11</v>
      </c>
    </row>
    <row r="175" spans="1:25" x14ac:dyDescent="0.25">
      <c r="A175" s="37" t="s">
        <v>225</v>
      </c>
      <c r="B175" t="s">
        <v>226</v>
      </c>
      <c r="C175">
        <v>439</v>
      </c>
      <c r="D175" t="s">
        <v>11</v>
      </c>
      <c r="E175" t="s">
        <v>11</v>
      </c>
      <c r="F175" s="70"/>
      <c r="G175" s="3"/>
      <c r="H175" s="3"/>
      <c r="I175" s="38">
        <f>VLOOKUP(A175,$T$5:$W$279,4,0)</f>
        <v>83</v>
      </c>
      <c r="J175" s="70">
        <v>19</v>
      </c>
      <c r="K175" s="3">
        <v>0</v>
      </c>
      <c r="L175" s="3">
        <v>5</v>
      </c>
      <c r="M175" s="38">
        <f>SUM(J175:L175)</f>
        <v>24</v>
      </c>
      <c r="N175" s="70"/>
      <c r="O175" s="3"/>
      <c r="P175" s="3"/>
      <c r="Q175" s="38">
        <f>M175-I175</f>
        <v>-59</v>
      </c>
      <c r="R175" s="39">
        <f>Q175/I175</f>
        <v>-0.71084337349397586</v>
      </c>
      <c r="S175" s="67"/>
      <c r="T175" t="s">
        <v>428</v>
      </c>
      <c r="U175" t="s">
        <v>429</v>
      </c>
      <c r="V175">
        <v>170</v>
      </c>
      <c r="W175">
        <v>3904</v>
      </c>
      <c r="X175">
        <v>455</v>
      </c>
      <c r="Y175" t="s">
        <v>11</v>
      </c>
    </row>
    <row r="176" spans="1:25" x14ac:dyDescent="0.25">
      <c r="A176" s="37" t="s">
        <v>420</v>
      </c>
      <c r="B176" t="s">
        <v>421</v>
      </c>
      <c r="C176">
        <v>441</v>
      </c>
      <c r="D176" t="s">
        <v>11</v>
      </c>
      <c r="E176" t="s">
        <v>11</v>
      </c>
      <c r="F176" s="70"/>
      <c r="G176" s="3"/>
      <c r="H176" s="3"/>
      <c r="I176" s="38">
        <f t="shared" si="21"/>
        <v>1084</v>
      </c>
      <c r="J176" s="70">
        <v>0</v>
      </c>
      <c r="K176" s="3">
        <v>0</v>
      </c>
      <c r="L176" s="3">
        <v>0</v>
      </c>
      <c r="M176" s="38">
        <f t="shared" si="22"/>
        <v>0</v>
      </c>
      <c r="N176" s="70"/>
      <c r="O176" s="3"/>
      <c r="P176" s="3"/>
      <c r="Q176" s="38">
        <f t="shared" si="23"/>
        <v>-1084</v>
      </c>
      <c r="R176" s="39">
        <f t="shared" si="24"/>
        <v>-1</v>
      </c>
      <c r="S176" s="67"/>
      <c r="T176" t="s">
        <v>430</v>
      </c>
      <c r="U176" t="s">
        <v>681</v>
      </c>
      <c r="V176">
        <v>171</v>
      </c>
      <c r="W176">
        <v>141</v>
      </c>
      <c r="X176">
        <v>456</v>
      </c>
      <c r="Y176" t="s">
        <v>11</v>
      </c>
    </row>
    <row r="177" spans="1:25" x14ac:dyDescent="0.25">
      <c r="A177" s="37" t="s">
        <v>422</v>
      </c>
      <c r="B177" t="s">
        <v>423</v>
      </c>
      <c r="C177">
        <v>441442</v>
      </c>
      <c r="D177" t="s">
        <v>11</v>
      </c>
      <c r="E177" t="s">
        <v>11</v>
      </c>
      <c r="F177" s="70"/>
      <c r="G177" s="3"/>
      <c r="H177" s="3"/>
      <c r="I177" s="38">
        <f t="shared" si="21"/>
        <v>0</v>
      </c>
      <c r="J177" s="70">
        <v>0</v>
      </c>
      <c r="K177" s="3">
        <v>0</v>
      </c>
      <c r="L177" s="3">
        <v>0</v>
      </c>
      <c r="M177" s="38">
        <f t="shared" si="22"/>
        <v>0</v>
      </c>
      <c r="N177" s="70"/>
      <c r="O177" s="3"/>
      <c r="P177" s="3"/>
      <c r="Q177" s="38">
        <f t="shared" si="23"/>
        <v>0</v>
      </c>
      <c r="R177" s="39" t="e">
        <f t="shared" si="24"/>
        <v>#DIV/0!</v>
      </c>
      <c r="S177" s="67"/>
      <c r="T177" t="s">
        <v>232</v>
      </c>
      <c r="U177" t="s">
        <v>233</v>
      </c>
      <c r="V177">
        <v>172</v>
      </c>
      <c r="W177">
        <v>1125</v>
      </c>
      <c r="X177">
        <v>501</v>
      </c>
      <c r="Y177" t="s">
        <v>11</v>
      </c>
    </row>
    <row r="178" spans="1:25" x14ac:dyDescent="0.25">
      <c r="A178" s="37" t="s">
        <v>424</v>
      </c>
      <c r="B178" t="s">
        <v>425</v>
      </c>
      <c r="C178">
        <v>442</v>
      </c>
      <c r="D178" t="s">
        <v>11</v>
      </c>
      <c r="E178" t="s">
        <v>11</v>
      </c>
      <c r="F178" s="70"/>
      <c r="G178" s="3"/>
      <c r="H178" s="3"/>
      <c r="I178" s="38">
        <f t="shared" si="21"/>
        <v>2091</v>
      </c>
      <c r="J178" s="70">
        <v>1729</v>
      </c>
      <c r="K178" s="3">
        <v>39</v>
      </c>
      <c r="L178" s="3">
        <v>886</v>
      </c>
      <c r="M178" s="38">
        <f t="shared" si="22"/>
        <v>2654</v>
      </c>
      <c r="N178" s="70"/>
      <c r="O178" s="3"/>
      <c r="P178" s="3"/>
      <c r="Q178" s="38">
        <f t="shared" si="23"/>
        <v>563</v>
      </c>
      <c r="R178" s="39">
        <f t="shared" si="24"/>
        <v>0.26924916307986607</v>
      </c>
      <c r="S178" s="67"/>
      <c r="T178" t="s">
        <v>236</v>
      </c>
      <c r="U178" t="s">
        <v>237</v>
      </c>
      <c r="V178">
        <v>173</v>
      </c>
      <c r="W178">
        <v>1160</v>
      </c>
      <c r="X178">
        <v>504</v>
      </c>
      <c r="Y178" t="s">
        <v>11</v>
      </c>
    </row>
    <row r="179" spans="1:25" x14ac:dyDescent="0.25">
      <c r="A179" s="37" t="s">
        <v>229</v>
      </c>
      <c r="B179" t="s">
        <v>230</v>
      </c>
      <c r="C179">
        <v>451</v>
      </c>
      <c r="D179" t="s">
        <v>11</v>
      </c>
      <c r="E179" t="s">
        <v>11</v>
      </c>
      <c r="F179" s="70"/>
      <c r="G179" s="3"/>
      <c r="H179" s="3"/>
      <c r="I179" s="38">
        <f>VLOOKUP(A179,$T$5:$W$279,4,0)</f>
        <v>49</v>
      </c>
      <c r="J179" s="70">
        <v>63</v>
      </c>
      <c r="K179" s="3">
        <v>1</v>
      </c>
      <c r="L179" s="3">
        <v>0</v>
      </c>
      <c r="M179" s="38">
        <f>SUM(J179:L179)</f>
        <v>64</v>
      </c>
      <c r="N179" s="70"/>
      <c r="O179" s="3"/>
      <c r="P179" s="3"/>
      <c r="Q179" s="38">
        <f>M179-I179</f>
        <v>15</v>
      </c>
      <c r="R179" s="39">
        <f>Q179/I179</f>
        <v>0.30612244897959184</v>
      </c>
      <c r="S179" s="67"/>
      <c r="T179" t="s">
        <v>240</v>
      </c>
      <c r="U179" t="s">
        <v>241</v>
      </c>
      <c r="V179">
        <v>174</v>
      </c>
      <c r="W179">
        <v>471</v>
      </c>
      <c r="X179">
        <v>505</v>
      </c>
      <c r="Y179" t="s">
        <v>11</v>
      </c>
    </row>
    <row r="180" spans="1:25" x14ac:dyDescent="0.25">
      <c r="A180" s="37" t="s">
        <v>428</v>
      </c>
      <c r="B180" t="s">
        <v>429</v>
      </c>
      <c r="C180">
        <v>455</v>
      </c>
      <c r="D180" t="s">
        <v>11</v>
      </c>
      <c r="E180" t="s">
        <v>11</v>
      </c>
      <c r="F180" s="70"/>
      <c r="G180" s="3"/>
      <c r="H180" s="3"/>
      <c r="I180" s="38">
        <f t="shared" si="21"/>
        <v>3904</v>
      </c>
      <c r="J180" s="70">
        <v>3453</v>
      </c>
      <c r="K180" s="3">
        <v>15</v>
      </c>
      <c r="L180" s="3">
        <v>26</v>
      </c>
      <c r="M180" s="38">
        <f t="shared" si="22"/>
        <v>3494</v>
      </c>
      <c r="N180" s="70"/>
      <c r="O180" s="3"/>
      <c r="P180" s="3"/>
      <c r="Q180" s="38">
        <f t="shared" si="23"/>
        <v>-410</v>
      </c>
      <c r="R180" s="39">
        <f t="shared" si="24"/>
        <v>-0.10502049180327869</v>
      </c>
      <c r="S180" s="67"/>
      <c r="T180" t="s">
        <v>432</v>
      </c>
      <c r="U180" t="s">
        <v>433</v>
      </c>
      <c r="V180">
        <v>175</v>
      </c>
      <c r="W180">
        <v>526</v>
      </c>
      <c r="X180">
        <v>553</v>
      </c>
      <c r="Y180" t="s">
        <v>11</v>
      </c>
    </row>
    <row r="181" spans="1:25" x14ac:dyDescent="0.25">
      <c r="A181" s="37" t="s">
        <v>430</v>
      </c>
      <c r="B181" t="s">
        <v>431</v>
      </c>
      <c r="C181">
        <v>456</v>
      </c>
      <c r="D181" t="s">
        <v>11</v>
      </c>
      <c r="E181" t="s">
        <v>11</v>
      </c>
      <c r="F181" s="70"/>
      <c r="G181" s="3"/>
      <c r="H181" s="3"/>
      <c r="I181" s="38">
        <f t="shared" si="21"/>
        <v>141</v>
      </c>
      <c r="J181" s="70">
        <v>0</v>
      </c>
      <c r="K181" s="3">
        <v>0</v>
      </c>
      <c r="L181" s="3">
        <v>0</v>
      </c>
      <c r="M181" s="38">
        <f t="shared" si="22"/>
        <v>0</v>
      </c>
      <c r="N181" s="70"/>
      <c r="O181" s="3"/>
      <c r="P181" s="3"/>
      <c r="Q181" s="38">
        <f t="shared" si="23"/>
        <v>-141</v>
      </c>
      <c r="R181" s="39">
        <f t="shared" si="24"/>
        <v>-1</v>
      </c>
      <c r="S181" s="67"/>
      <c r="T181" t="s">
        <v>434</v>
      </c>
      <c r="U181" t="s">
        <v>435</v>
      </c>
      <c r="V181">
        <v>176</v>
      </c>
      <c r="W181">
        <v>116</v>
      </c>
      <c r="X181">
        <v>554</v>
      </c>
      <c r="Y181" t="s">
        <v>11</v>
      </c>
    </row>
    <row r="182" spans="1:25" x14ac:dyDescent="0.25">
      <c r="A182" s="37" t="s">
        <v>432</v>
      </c>
      <c r="B182" t="s">
        <v>433</v>
      </c>
      <c r="C182">
        <v>553</v>
      </c>
      <c r="D182" t="s">
        <v>11</v>
      </c>
      <c r="E182" t="s">
        <v>11</v>
      </c>
      <c r="F182" s="70"/>
      <c r="G182" s="3"/>
      <c r="H182" s="3"/>
      <c r="I182" s="38">
        <f t="shared" si="21"/>
        <v>526</v>
      </c>
      <c r="J182" s="70">
        <v>0</v>
      </c>
      <c r="K182" s="3">
        <v>0</v>
      </c>
      <c r="L182" s="3">
        <v>0</v>
      </c>
      <c r="M182" s="38">
        <f t="shared" si="22"/>
        <v>0</v>
      </c>
      <c r="N182" s="70"/>
      <c r="O182" s="3"/>
      <c r="P182" s="3"/>
      <c r="Q182" s="38">
        <f t="shared" si="23"/>
        <v>-526</v>
      </c>
      <c r="R182" s="39">
        <f t="shared" si="24"/>
        <v>-1</v>
      </c>
      <c r="S182" s="67"/>
      <c r="T182" t="s">
        <v>244</v>
      </c>
      <c r="U182" t="s">
        <v>245</v>
      </c>
      <c r="V182">
        <v>177</v>
      </c>
      <c r="W182">
        <v>119</v>
      </c>
      <c r="X182">
        <v>556</v>
      </c>
      <c r="Y182" t="s">
        <v>11</v>
      </c>
    </row>
    <row r="183" spans="1:25" x14ac:dyDescent="0.25">
      <c r="A183" s="37" t="s">
        <v>434</v>
      </c>
      <c r="B183" t="s">
        <v>435</v>
      </c>
      <c r="C183">
        <v>554</v>
      </c>
      <c r="D183" t="s">
        <v>11</v>
      </c>
      <c r="E183" t="s">
        <v>11</v>
      </c>
      <c r="F183" s="70"/>
      <c r="G183" s="3"/>
      <c r="H183" s="3"/>
      <c r="I183" s="38">
        <f t="shared" si="21"/>
        <v>116</v>
      </c>
      <c r="J183" s="70">
        <v>0</v>
      </c>
      <c r="K183" s="3">
        <v>0</v>
      </c>
      <c r="L183" s="3">
        <v>0</v>
      </c>
      <c r="M183" s="38">
        <f t="shared" si="22"/>
        <v>0</v>
      </c>
      <c r="N183" s="70"/>
      <c r="O183" s="3"/>
      <c r="P183" s="3"/>
      <c r="Q183" s="38">
        <f t="shared" si="23"/>
        <v>-116</v>
      </c>
      <c r="R183" s="39">
        <f t="shared" si="24"/>
        <v>-1</v>
      </c>
      <c r="S183" s="67"/>
      <c r="T183" t="s">
        <v>248</v>
      </c>
      <c r="U183" t="s">
        <v>249</v>
      </c>
      <c r="V183">
        <v>178</v>
      </c>
      <c r="W183">
        <v>108</v>
      </c>
      <c r="X183">
        <v>558</v>
      </c>
      <c r="Y183" t="s">
        <v>11</v>
      </c>
    </row>
    <row r="184" spans="1:25" x14ac:dyDescent="0.25">
      <c r="A184" s="37" t="s">
        <v>244</v>
      </c>
      <c r="B184" t="s">
        <v>245</v>
      </c>
      <c r="C184">
        <v>556</v>
      </c>
      <c r="D184" t="s">
        <v>11</v>
      </c>
      <c r="E184" t="s">
        <v>11</v>
      </c>
      <c r="F184" s="70"/>
      <c r="G184" s="3"/>
      <c r="H184" s="3"/>
      <c r="I184" s="38">
        <f>VLOOKUP(A184,$T$5:$W$279,4,0)</f>
        <v>119</v>
      </c>
      <c r="J184" s="70">
        <v>0</v>
      </c>
      <c r="K184" s="3">
        <v>0</v>
      </c>
      <c r="L184" s="3">
        <v>0</v>
      </c>
      <c r="M184" s="38">
        <f>SUM(J184:L184)</f>
        <v>0</v>
      </c>
      <c r="N184" s="70"/>
      <c r="O184" s="3"/>
      <c r="P184" s="3"/>
      <c r="Q184" s="38">
        <f>M184-I184</f>
        <v>-119</v>
      </c>
      <c r="R184" s="39">
        <f>Q184/I184</f>
        <v>-1</v>
      </c>
      <c r="S184" s="67"/>
      <c r="T184" t="s">
        <v>147</v>
      </c>
      <c r="U184" t="s">
        <v>148</v>
      </c>
      <c r="V184">
        <v>179</v>
      </c>
      <c r="W184">
        <v>934</v>
      </c>
      <c r="X184">
        <v>708</v>
      </c>
      <c r="Y184" t="s">
        <v>11</v>
      </c>
    </row>
    <row r="185" spans="1:25" x14ac:dyDescent="0.25">
      <c r="A185" s="37" t="s">
        <v>248</v>
      </c>
      <c r="B185" t="s">
        <v>249</v>
      </c>
      <c r="C185">
        <v>558</v>
      </c>
      <c r="D185" t="s">
        <v>11</v>
      </c>
      <c r="E185" t="s">
        <v>11</v>
      </c>
      <c r="F185" s="70"/>
      <c r="G185" s="3"/>
      <c r="H185" s="3"/>
      <c r="I185" s="38">
        <f>VLOOKUP(A185,$T$5:$W$279,4,0)</f>
        <v>108</v>
      </c>
      <c r="J185" s="70">
        <v>0</v>
      </c>
      <c r="K185" s="3">
        <v>0</v>
      </c>
      <c r="L185" s="3">
        <v>0</v>
      </c>
      <c r="M185" s="38">
        <f>SUM(J185:L185)</f>
        <v>0</v>
      </c>
      <c r="N185" s="70"/>
      <c r="O185" s="3"/>
      <c r="P185" s="3"/>
      <c r="Q185" s="38">
        <f>M185-I185</f>
        <v>-108</v>
      </c>
      <c r="R185" s="39">
        <f>Q185/I185</f>
        <v>-1</v>
      </c>
      <c r="S185" s="67"/>
      <c r="T185" t="s">
        <v>436</v>
      </c>
      <c r="U185" t="s">
        <v>437</v>
      </c>
      <c r="V185">
        <v>180</v>
      </c>
      <c r="W185">
        <v>1521</v>
      </c>
      <c r="X185">
        <v>712</v>
      </c>
      <c r="Y185" t="s">
        <v>11</v>
      </c>
    </row>
    <row r="186" spans="1:25" x14ac:dyDescent="0.25">
      <c r="A186" s="37" t="s">
        <v>147</v>
      </c>
      <c r="B186" t="s">
        <v>148</v>
      </c>
      <c r="C186">
        <v>708</v>
      </c>
      <c r="D186" t="s">
        <v>11</v>
      </c>
      <c r="E186" t="s">
        <v>11</v>
      </c>
      <c r="F186" s="70"/>
      <c r="G186" s="3"/>
      <c r="H186" s="3"/>
      <c r="I186" s="38">
        <f>VLOOKUP(A186,$T$5:$W$279,4,0)</f>
        <v>934</v>
      </c>
      <c r="J186" s="70">
        <v>0</v>
      </c>
      <c r="K186" s="3">
        <v>0</v>
      </c>
      <c r="L186" s="3">
        <v>0</v>
      </c>
      <c r="M186" s="38">
        <f>SUM(J186:L186)</f>
        <v>0</v>
      </c>
      <c r="N186" s="70"/>
      <c r="O186" s="3"/>
      <c r="P186" s="3"/>
      <c r="Q186" s="38">
        <f>M186-I186</f>
        <v>-934</v>
      </c>
      <c r="R186" s="39">
        <f>Q186/I186</f>
        <v>-1</v>
      </c>
      <c r="S186" s="67"/>
      <c r="T186" t="s">
        <v>438</v>
      </c>
      <c r="U186" t="s">
        <v>439</v>
      </c>
      <c r="V186">
        <v>181</v>
      </c>
      <c r="W186">
        <v>1011</v>
      </c>
      <c r="X186">
        <v>713</v>
      </c>
      <c r="Y186" t="s">
        <v>11</v>
      </c>
    </row>
    <row r="187" spans="1:25" x14ac:dyDescent="0.25">
      <c r="A187" s="37" t="s">
        <v>436</v>
      </c>
      <c r="B187" t="s">
        <v>437</v>
      </c>
      <c r="C187">
        <v>712</v>
      </c>
      <c r="D187" t="s">
        <v>11</v>
      </c>
      <c r="E187" t="s">
        <v>11</v>
      </c>
      <c r="F187" s="70"/>
      <c r="G187" s="3"/>
      <c r="H187" s="3"/>
      <c r="I187" s="38">
        <f t="shared" si="21"/>
        <v>1521</v>
      </c>
      <c r="J187" s="70">
        <v>0</v>
      </c>
      <c r="K187" s="3">
        <v>0</v>
      </c>
      <c r="L187" s="3">
        <v>0</v>
      </c>
      <c r="M187" s="38">
        <f t="shared" si="22"/>
        <v>0</v>
      </c>
      <c r="N187" s="70"/>
      <c r="O187" s="3"/>
      <c r="P187" s="3"/>
      <c r="Q187" s="38">
        <f t="shared" si="23"/>
        <v>-1521</v>
      </c>
      <c r="R187" s="39">
        <f t="shared" si="24"/>
        <v>-1</v>
      </c>
      <c r="S187" s="67"/>
      <c r="T187" t="s">
        <v>440</v>
      </c>
      <c r="U187" t="s">
        <v>682</v>
      </c>
      <c r="V187">
        <v>182</v>
      </c>
      <c r="W187">
        <v>0</v>
      </c>
      <c r="X187">
        <v>714</v>
      </c>
      <c r="Y187" t="s">
        <v>11</v>
      </c>
    </row>
    <row r="188" spans="1:25" x14ac:dyDescent="0.25">
      <c r="A188" s="37" t="s">
        <v>438</v>
      </c>
      <c r="B188" t="s">
        <v>439</v>
      </c>
      <c r="C188">
        <v>713</v>
      </c>
      <c r="D188" t="s">
        <v>11</v>
      </c>
      <c r="E188" t="s">
        <v>11</v>
      </c>
      <c r="F188" s="70"/>
      <c r="G188" s="3"/>
      <c r="H188" s="3"/>
      <c r="I188" s="38">
        <f t="shared" si="21"/>
        <v>1011</v>
      </c>
      <c r="J188" s="70">
        <v>0</v>
      </c>
      <c r="K188" s="3">
        <v>0</v>
      </c>
      <c r="L188" s="3">
        <v>0</v>
      </c>
      <c r="M188" s="38">
        <f t="shared" si="22"/>
        <v>0</v>
      </c>
      <c r="N188" s="70"/>
      <c r="O188" s="3"/>
      <c r="P188" s="3"/>
      <c r="Q188" s="38">
        <f t="shared" si="23"/>
        <v>-1011</v>
      </c>
      <c r="R188" s="39">
        <f t="shared" si="24"/>
        <v>-1</v>
      </c>
      <c r="S188" s="67"/>
      <c r="T188" t="s">
        <v>442</v>
      </c>
      <c r="U188" t="s">
        <v>443</v>
      </c>
      <c r="V188">
        <v>183</v>
      </c>
      <c r="W188">
        <v>0</v>
      </c>
      <c r="X188">
        <v>716</v>
      </c>
      <c r="Y188" t="s">
        <v>11</v>
      </c>
    </row>
    <row r="189" spans="1:25" x14ac:dyDescent="0.25">
      <c r="A189" s="37" t="s">
        <v>440</v>
      </c>
      <c r="B189" t="s">
        <v>441</v>
      </c>
      <c r="C189">
        <v>714</v>
      </c>
      <c r="D189" t="s">
        <v>11</v>
      </c>
      <c r="E189" t="s">
        <v>11</v>
      </c>
      <c r="F189" s="70"/>
      <c r="G189" s="3"/>
      <c r="H189" s="3"/>
      <c r="I189" s="38">
        <f t="shared" si="21"/>
        <v>0</v>
      </c>
      <c r="J189" s="70">
        <v>105</v>
      </c>
      <c r="K189" s="3">
        <v>1</v>
      </c>
      <c r="L189" s="3">
        <v>0</v>
      </c>
      <c r="M189" s="38">
        <f t="shared" si="22"/>
        <v>106</v>
      </c>
      <c r="N189" s="70"/>
      <c r="O189" s="3"/>
      <c r="P189" s="3"/>
      <c r="Q189" s="38">
        <f t="shared" si="23"/>
        <v>106</v>
      </c>
      <c r="R189" s="39" t="e">
        <f t="shared" si="24"/>
        <v>#DIV/0!</v>
      </c>
      <c r="S189" s="67"/>
      <c r="T189" t="s">
        <v>145</v>
      </c>
      <c r="U189" t="s">
        <v>146</v>
      </c>
      <c r="V189">
        <v>184</v>
      </c>
      <c r="W189">
        <v>1774</v>
      </c>
      <c r="X189">
        <v>747</v>
      </c>
      <c r="Y189" t="s">
        <v>11</v>
      </c>
    </row>
    <row r="190" spans="1:25" x14ac:dyDescent="0.25">
      <c r="A190" s="37" t="s">
        <v>442</v>
      </c>
      <c r="B190" t="s">
        <v>443</v>
      </c>
      <c r="C190">
        <v>716</v>
      </c>
      <c r="D190" t="s">
        <v>11</v>
      </c>
      <c r="E190" t="s">
        <v>11</v>
      </c>
      <c r="F190" s="70"/>
      <c r="G190" s="3"/>
      <c r="H190" s="3"/>
      <c r="I190" s="38">
        <f t="shared" si="21"/>
        <v>0</v>
      </c>
      <c r="J190" s="70">
        <v>171</v>
      </c>
      <c r="K190" s="3">
        <v>9</v>
      </c>
      <c r="L190" s="3">
        <v>4</v>
      </c>
      <c r="M190" s="38">
        <f t="shared" si="22"/>
        <v>184</v>
      </c>
      <c r="N190" s="70"/>
      <c r="O190" s="3"/>
      <c r="P190" s="3"/>
      <c r="Q190" s="38">
        <f t="shared" si="23"/>
        <v>184</v>
      </c>
      <c r="R190" s="39" t="e">
        <f t="shared" si="24"/>
        <v>#DIV/0!</v>
      </c>
      <c r="S190" s="67"/>
      <c r="T190" t="s">
        <v>444</v>
      </c>
      <c r="U190" t="s">
        <v>445</v>
      </c>
      <c r="V190">
        <v>185</v>
      </c>
      <c r="W190">
        <v>0</v>
      </c>
      <c r="X190" t="s">
        <v>448</v>
      </c>
      <c r="Y190" t="s">
        <v>11</v>
      </c>
    </row>
    <row r="191" spans="1:25" x14ac:dyDescent="0.25">
      <c r="A191" s="37" t="s">
        <v>145</v>
      </c>
      <c r="B191" t="s">
        <v>146</v>
      </c>
      <c r="C191">
        <v>747</v>
      </c>
      <c r="D191" t="s">
        <v>11</v>
      </c>
      <c r="E191" t="s">
        <v>11</v>
      </c>
      <c r="F191" s="70"/>
      <c r="G191" s="3"/>
      <c r="H191" s="3"/>
      <c r="I191" s="38">
        <f>VLOOKUP(A191,$T$5:$W$279,4,0)</f>
        <v>1774</v>
      </c>
      <c r="J191" s="70">
        <v>0</v>
      </c>
      <c r="K191" s="3">
        <v>0</v>
      </c>
      <c r="L191" s="3">
        <v>0</v>
      </c>
      <c r="M191" s="38">
        <f>SUM(J191:L191)</f>
        <v>0</v>
      </c>
      <c r="N191" s="70"/>
      <c r="O191" s="3"/>
      <c r="P191" s="3"/>
      <c r="Q191" s="38">
        <f>M191-I191</f>
        <v>-1774</v>
      </c>
      <c r="R191" s="39">
        <f>Q191/I191</f>
        <v>-1</v>
      </c>
      <c r="S191" s="67"/>
      <c r="T191" t="s">
        <v>446</v>
      </c>
      <c r="U191" t="s">
        <v>683</v>
      </c>
      <c r="V191">
        <v>190</v>
      </c>
      <c r="W191">
        <v>633</v>
      </c>
      <c r="X191">
        <v>18741</v>
      </c>
      <c r="Y191" t="s">
        <v>451</v>
      </c>
    </row>
    <row r="192" spans="1:25" ht="15.75" thickBot="1" x14ac:dyDescent="0.3">
      <c r="A192" s="41" t="s">
        <v>444</v>
      </c>
      <c r="B192" s="13" t="s">
        <v>445</v>
      </c>
      <c r="C192" s="13" t="s">
        <v>448</v>
      </c>
      <c r="D192" s="13" t="s">
        <v>11</v>
      </c>
      <c r="E192" s="13" t="s">
        <v>11</v>
      </c>
      <c r="F192" s="77"/>
      <c r="G192" s="32"/>
      <c r="H192" s="32"/>
      <c r="I192" s="52">
        <f t="shared" si="21"/>
        <v>0</v>
      </c>
      <c r="J192" s="77" t="s">
        <v>690</v>
      </c>
      <c r="K192" s="32" t="s">
        <v>690</v>
      </c>
      <c r="L192" s="32" t="s">
        <v>690</v>
      </c>
      <c r="M192" s="52">
        <f t="shared" si="22"/>
        <v>0</v>
      </c>
      <c r="N192" s="77"/>
      <c r="O192" s="32"/>
      <c r="P192" s="32"/>
      <c r="Q192" s="52">
        <f t="shared" si="23"/>
        <v>0</v>
      </c>
      <c r="R192" s="39" t="e">
        <f t="shared" si="24"/>
        <v>#DIV/0!</v>
      </c>
      <c r="S192" s="67"/>
      <c r="T192" t="s">
        <v>449</v>
      </c>
      <c r="U192" t="s">
        <v>450</v>
      </c>
      <c r="V192">
        <v>190</v>
      </c>
      <c r="W192">
        <v>0</v>
      </c>
      <c r="X192">
        <v>2848</v>
      </c>
      <c r="Y192" t="s">
        <v>451</v>
      </c>
    </row>
    <row r="193" spans="1:25" x14ac:dyDescent="0.25">
      <c r="A193" s="36" t="s">
        <v>446</v>
      </c>
      <c r="B193" s="11" t="s">
        <v>447</v>
      </c>
      <c r="C193" s="11">
        <v>18741</v>
      </c>
      <c r="D193" s="11" t="s">
        <v>451</v>
      </c>
      <c r="E193" s="11" t="s">
        <v>13</v>
      </c>
      <c r="F193" s="76"/>
      <c r="G193" s="50"/>
      <c r="H193" s="50"/>
      <c r="I193" s="51">
        <f t="shared" si="21"/>
        <v>633</v>
      </c>
      <c r="J193" s="76" t="s">
        <v>690</v>
      </c>
      <c r="K193" s="50" t="s">
        <v>690</v>
      </c>
      <c r="L193" s="50" t="s">
        <v>690</v>
      </c>
      <c r="M193" s="51">
        <f t="shared" si="22"/>
        <v>0</v>
      </c>
      <c r="N193" s="76"/>
      <c r="O193" s="50"/>
      <c r="P193" s="50"/>
      <c r="Q193" s="51">
        <f>SUM(M193:M213)-I193</f>
        <v>7</v>
      </c>
      <c r="R193" s="39">
        <f t="shared" si="24"/>
        <v>1.1058451816745656E-2</v>
      </c>
      <c r="S193" s="67"/>
      <c r="T193" t="s">
        <v>452</v>
      </c>
      <c r="U193" t="s">
        <v>453</v>
      </c>
      <c r="V193">
        <v>190</v>
      </c>
      <c r="W193">
        <v>0</v>
      </c>
      <c r="X193">
        <v>18720</v>
      </c>
      <c r="Y193" t="s">
        <v>451</v>
      </c>
    </row>
    <row r="194" spans="1:25" x14ac:dyDescent="0.25">
      <c r="A194" s="37" t="s">
        <v>449</v>
      </c>
      <c r="B194" t="s">
        <v>450</v>
      </c>
      <c r="C194">
        <v>2848</v>
      </c>
      <c r="D194" t="s">
        <v>451</v>
      </c>
      <c r="E194" t="s">
        <v>13</v>
      </c>
      <c r="F194" s="70"/>
      <c r="G194" s="3"/>
      <c r="H194" s="3"/>
      <c r="I194" s="38">
        <f t="shared" si="21"/>
        <v>0</v>
      </c>
      <c r="J194" s="70">
        <v>26</v>
      </c>
      <c r="K194" s="3">
        <v>0</v>
      </c>
      <c r="L194" s="3">
        <v>0</v>
      </c>
      <c r="M194" s="38">
        <f t="shared" si="22"/>
        <v>26</v>
      </c>
      <c r="N194" s="70"/>
      <c r="O194" s="3"/>
      <c r="P194" s="3"/>
      <c r="Q194" s="38"/>
      <c r="R194" s="39"/>
      <c r="S194" s="67"/>
      <c r="T194" t="s">
        <v>454</v>
      </c>
      <c r="U194" t="s">
        <v>455</v>
      </c>
      <c r="V194">
        <v>190</v>
      </c>
      <c r="W194">
        <v>0</v>
      </c>
      <c r="X194">
        <v>2851</v>
      </c>
      <c r="Y194" t="s">
        <v>451</v>
      </c>
    </row>
    <row r="195" spans="1:25" x14ac:dyDescent="0.25">
      <c r="A195" s="37" t="s">
        <v>452</v>
      </c>
      <c r="B195" t="s">
        <v>453</v>
      </c>
      <c r="C195">
        <v>18720</v>
      </c>
      <c r="D195" t="s">
        <v>451</v>
      </c>
      <c r="E195" t="s">
        <v>13</v>
      </c>
      <c r="F195" s="70"/>
      <c r="G195" s="3"/>
      <c r="H195" s="3"/>
      <c r="I195" s="38">
        <f t="shared" si="21"/>
        <v>0</v>
      </c>
      <c r="J195" s="70">
        <v>2</v>
      </c>
      <c r="K195" s="3">
        <v>0</v>
      </c>
      <c r="L195" s="3">
        <v>0</v>
      </c>
      <c r="M195" s="38">
        <f t="shared" si="22"/>
        <v>2</v>
      </c>
      <c r="N195" s="70"/>
      <c r="O195" s="3"/>
      <c r="P195" s="3"/>
      <c r="Q195" s="38"/>
      <c r="R195" s="39"/>
      <c r="S195" s="67"/>
      <c r="T195" t="s">
        <v>456</v>
      </c>
      <c r="U195" t="s">
        <v>457</v>
      </c>
      <c r="V195">
        <v>190</v>
      </c>
      <c r="W195">
        <v>0</v>
      </c>
      <c r="X195">
        <v>2856</v>
      </c>
      <c r="Y195" t="s">
        <v>451</v>
      </c>
    </row>
    <row r="196" spans="1:25" x14ac:dyDescent="0.25">
      <c r="A196" s="37" t="s">
        <v>454</v>
      </c>
      <c r="B196" t="s">
        <v>455</v>
      </c>
      <c r="C196">
        <v>2851</v>
      </c>
      <c r="D196" t="s">
        <v>451</v>
      </c>
      <c r="E196" t="s">
        <v>13</v>
      </c>
      <c r="F196" s="70"/>
      <c r="G196" s="3"/>
      <c r="H196" s="3"/>
      <c r="I196" s="38">
        <f t="shared" si="21"/>
        <v>0</v>
      </c>
      <c r="J196" s="70" t="s">
        <v>690</v>
      </c>
      <c r="K196" s="3" t="s">
        <v>690</v>
      </c>
      <c r="L196" s="3" t="s">
        <v>690</v>
      </c>
      <c r="M196" s="38">
        <f t="shared" si="22"/>
        <v>0</v>
      </c>
      <c r="N196" s="70"/>
      <c r="O196" s="3"/>
      <c r="P196" s="3"/>
      <c r="Q196" s="38"/>
      <c r="R196" s="39"/>
      <c r="S196" s="67"/>
      <c r="T196" t="s">
        <v>458</v>
      </c>
      <c r="U196" t="s">
        <v>459</v>
      </c>
      <c r="V196">
        <v>190</v>
      </c>
      <c r="W196">
        <v>0</v>
      </c>
      <c r="X196">
        <v>3240</v>
      </c>
      <c r="Y196" t="s">
        <v>451</v>
      </c>
    </row>
    <row r="197" spans="1:25" x14ac:dyDescent="0.25">
      <c r="A197" s="37" t="s">
        <v>456</v>
      </c>
      <c r="B197" t="s">
        <v>457</v>
      </c>
      <c r="C197">
        <v>2856</v>
      </c>
      <c r="D197" t="s">
        <v>451</v>
      </c>
      <c r="E197" t="s">
        <v>13</v>
      </c>
      <c r="F197" s="70"/>
      <c r="G197" s="3"/>
      <c r="H197" s="3"/>
      <c r="I197" s="38">
        <f t="shared" si="21"/>
        <v>0</v>
      </c>
      <c r="J197" s="70" t="s">
        <v>690</v>
      </c>
      <c r="K197" s="3" t="s">
        <v>690</v>
      </c>
      <c r="L197" s="3" t="s">
        <v>690</v>
      </c>
      <c r="M197" s="38">
        <f t="shared" si="22"/>
        <v>0</v>
      </c>
      <c r="N197" s="70"/>
      <c r="O197" s="3"/>
      <c r="P197" s="3"/>
      <c r="Q197" s="38"/>
      <c r="R197" s="39"/>
      <c r="S197" s="67"/>
      <c r="T197" t="s">
        <v>460</v>
      </c>
      <c r="U197" t="s">
        <v>684</v>
      </c>
      <c r="V197">
        <v>190</v>
      </c>
      <c r="W197">
        <v>0</v>
      </c>
      <c r="X197">
        <v>18743</v>
      </c>
      <c r="Y197" t="s">
        <v>451</v>
      </c>
    </row>
    <row r="198" spans="1:25" x14ac:dyDescent="0.25">
      <c r="A198" s="37" t="s">
        <v>458</v>
      </c>
      <c r="B198" t="s">
        <v>459</v>
      </c>
      <c r="C198">
        <v>3240</v>
      </c>
      <c r="D198" t="s">
        <v>451</v>
      </c>
      <c r="E198" t="s">
        <v>13</v>
      </c>
      <c r="F198" s="70"/>
      <c r="G198" s="3"/>
      <c r="H198" s="3"/>
      <c r="I198" s="38">
        <f t="shared" si="21"/>
        <v>0</v>
      </c>
      <c r="J198" s="70" t="s">
        <v>690</v>
      </c>
      <c r="K198" s="3" t="s">
        <v>690</v>
      </c>
      <c r="L198" s="3" t="s">
        <v>690</v>
      </c>
      <c r="M198" s="38">
        <f t="shared" si="22"/>
        <v>0</v>
      </c>
      <c r="N198" s="70"/>
      <c r="O198" s="3"/>
      <c r="P198" s="3"/>
      <c r="Q198" s="38"/>
      <c r="R198" s="39"/>
      <c r="S198" s="67"/>
      <c r="T198" t="s">
        <v>462</v>
      </c>
      <c r="U198" t="s">
        <v>685</v>
      </c>
      <c r="V198">
        <v>190</v>
      </c>
      <c r="W198">
        <v>0</v>
      </c>
      <c r="X198">
        <v>18742</v>
      </c>
      <c r="Y198" t="s">
        <v>451</v>
      </c>
    </row>
    <row r="199" spans="1:25" x14ac:dyDescent="0.25">
      <c r="A199" s="37" t="s">
        <v>460</v>
      </c>
      <c r="B199" t="s">
        <v>461</v>
      </c>
      <c r="C199">
        <v>18743</v>
      </c>
      <c r="D199" t="s">
        <v>451</v>
      </c>
      <c r="E199" t="s">
        <v>13</v>
      </c>
      <c r="F199" s="70"/>
      <c r="G199" s="3"/>
      <c r="H199" s="3"/>
      <c r="I199" s="38">
        <f t="shared" si="21"/>
        <v>0</v>
      </c>
      <c r="J199" s="70" t="s">
        <v>690</v>
      </c>
      <c r="K199" s="3" t="s">
        <v>690</v>
      </c>
      <c r="L199" s="3" t="s">
        <v>690</v>
      </c>
      <c r="M199" s="38">
        <f t="shared" si="22"/>
        <v>0</v>
      </c>
      <c r="N199" s="70"/>
      <c r="O199" s="3"/>
      <c r="P199" s="3"/>
      <c r="Q199" s="38"/>
      <c r="R199" s="39"/>
      <c r="S199" s="67"/>
      <c r="T199" t="s">
        <v>464</v>
      </c>
      <c r="U199" t="s">
        <v>686</v>
      </c>
      <c r="V199">
        <v>190</v>
      </c>
      <c r="W199">
        <v>0</v>
      </c>
      <c r="X199">
        <v>18744</v>
      </c>
      <c r="Y199" t="s">
        <v>451</v>
      </c>
    </row>
    <row r="200" spans="1:25" x14ac:dyDescent="0.25">
      <c r="A200" s="37" t="s">
        <v>462</v>
      </c>
      <c r="B200" t="s">
        <v>463</v>
      </c>
      <c r="C200">
        <v>18742</v>
      </c>
      <c r="D200" t="s">
        <v>451</v>
      </c>
      <c r="E200" t="s">
        <v>13</v>
      </c>
      <c r="F200" s="70"/>
      <c r="G200" s="3"/>
      <c r="H200" s="3"/>
      <c r="I200" s="38">
        <f t="shared" si="21"/>
        <v>0</v>
      </c>
      <c r="J200" s="70" t="s">
        <v>690</v>
      </c>
      <c r="K200" s="3" t="s">
        <v>690</v>
      </c>
      <c r="L200" s="3" t="s">
        <v>690</v>
      </c>
      <c r="M200" s="38">
        <f t="shared" si="22"/>
        <v>0</v>
      </c>
      <c r="N200" s="70"/>
      <c r="O200" s="3"/>
      <c r="P200" s="3"/>
      <c r="Q200" s="38"/>
      <c r="R200" s="39"/>
      <c r="S200" s="67"/>
      <c r="T200" t="s">
        <v>466</v>
      </c>
      <c r="U200" t="s">
        <v>467</v>
      </c>
      <c r="V200">
        <v>190</v>
      </c>
      <c r="W200">
        <v>0</v>
      </c>
      <c r="X200">
        <v>18745</v>
      </c>
      <c r="Y200" t="s">
        <v>451</v>
      </c>
    </row>
    <row r="201" spans="1:25" x14ac:dyDescent="0.25">
      <c r="A201" s="37" t="s">
        <v>464</v>
      </c>
      <c r="B201" t="s">
        <v>465</v>
      </c>
      <c r="C201">
        <v>18744</v>
      </c>
      <c r="D201" t="s">
        <v>451</v>
      </c>
      <c r="E201" t="s">
        <v>13</v>
      </c>
      <c r="F201" s="70"/>
      <c r="G201" s="3"/>
      <c r="H201" s="3"/>
      <c r="I201" s="38">
        <f t="shared" ref="I201:I264" si="25">VLOOKUP(A201,$T$5:$W$279,4,0)</f>
        <v>0</v>
      </c>
      <c r="J201" s="70" t="s">
        <v>690</v>
      </c>
      <c r="K201" s="3" t="s">
        <v>690</v>
      </c>
      <c r="L201" s="3" t="s">
        <v>690</v>
      </c>
      <c r="M201" s="38">
        <f t="shared" si="22"/>
        <v>0</v>
      </c>
      <c r="N201" s="70"/>
      <c r="O201" s="3"/>
      <c r="P201" s="3"/>
      <c r="Q201" s="38"/>
      <c r="R201" s="39"/>
      <c r="S201" s="67"/>
      <c r="T201" t="s">
        <v>468</v>
      </c>
      <c r="U201" t="s">
        <v>687</v>
      </c>
      <c r="V201">
        <v>190</v>
      </c>
      <c r="W201">
        <v>0</v>
      </c>
      <c r="X201">
        <v>18746</v>
      </c>
      <c r="Y201" t="s">
        <v>451</v>
      </c>
    </row>
    <row r="202" spans="1:25" x14ac:dyDescent="0.25">
      <c r="A202" s="37" t="s">
        <v>466</v>
      </c>
      <c r="B202" t="s">
        <v>467</v>
      </c>
      <c r="C202">
        <v>18745</v>
      </c>
      <c r="D202" t="s">
        <v>451</v>
      </c>
      <c r="E202" t="s">
        <v>13</v>
      </c>
      <c r="F202" s="70"/>
      <c r="G202" s="3"/>
      <c r="H202" s="3"/>
      <c r="I202" s="38">
        <f t="shared" si="25"/>
        <v>0</v>
      </c>
      <c r="J202" s="70" t="s">
        <v>690</v>
      </c>
      <c r="K202" s="3" t="s">
        <v>690</v>
      </c>
      <c r="L202" s="3" t="s">
        <v>690</v>
      </c>
      <c r="M202" s="38">
        <f t="shared" ref="M202:M232" si="26">SUM(J202:L202)</f>
        <v>0</v>
      </c>
      <c r="N202" s="70"/>
      <c r="O202" s="3"/>
      <c r="P202" s="3"/>
      <c r="Q202" s="38"/>
      <c r="R202" s="39"/>
      <c r="S202" s="67"/>
      <c r="T202" t="s">
        <v>470</v>
      </c>
      <c r="U202" t="s">
        <v>471</v>
      </c>
      <c r="V202">
        <v>190</v>
      </c>
      <c r="W202">
        <v>0</v>
      </c>
      <c r="X202">
        <v>18747</v>
      </c>
      <c r="Y202" t="s">
        <v>451</v>
      </c>
    </row>
    <row r="203" spans="1:25" x14ac:dyDescent="0.25">
      <c r="A203" s="37" t="s">
        <v>468</v>
      </c>
      <c r="B203" t="s">
        <v>469</v>
      </c>
      <c r="C203">
        <v>18746</v>
      </c>
      <c r="D203" t="s">
        <v>451</v>
      </c>
      <c r="E203" t="s">
        <v>13</v>
      </c>
      <c r="F203" s="70"/>
      <c r="G203" s="3"/>
      <c r="H203" s="3"/>
      <c r="I203" s="38">
        <f t="shared" si="25"/>
        <v>0</v>
      </c>
      <c r="J203" s="70" t="s">
        <v>690</v>
      </c>
      <c r="K203" s="3" t="s">
        <v>690</v>
      </c>
      <c r="L203" s="3" t="s">
        <v>690</v>
      </c>
      <c r="M203" s="38">
        <f t="shared" si="26"/>
        <v>0</v>
      </c>
      <c r="N203" s="70"/>
      <c r="O203" s="3"/>
      <c r="P203" s="3"/>
      <c r="Q203" s="38"/>
      <c r="R203" s="39"/>
      <c r="S203" s="67"/>
      <c r="T203" t="s">
        <v>472</v>
      </c>
      <c r="U203" t="s">
        <v>473</v>
      </c>
      <c r="V203">
        <v>190</v>
      </c>
      <c r="W203">
        <v>0</v>
      </c>
      <c r="X203">
        <v>2843</v>
      </c>
      <c r="Y203" t="s">
        <v>451</v>
      </c>
    </row>
    <row r="204" spans="1:25" x14ac:dyDescent="0.25">
      <c r="A204" s="37" t="s">
        <v>470</v>
      </c>
      <c r="B204" t="s">
        <v>471</v>
      </c>
      <c r="C204">
        <v>18747</v>
      </c>
      <c r="D204" t="s">
        <v>451</v>
      </c>
      <c r="E204" t="s">
        <v>13</v>
      </c>
      <c r="F204" s="70"/>
      <c r="G204" s="3"/>
      <c r="H204" s="3"/>
      <c r="I204" s="38">
        <f t="shared" si="25"/>
        <v>0</v>
      </c>
      <c r="J204" s="70" t="s">
        <v>690</v>
      </c>
      <c r="K204" s="3" t="s">
        <v>690</v>
      </c>
      <c r="L204" s="3" t="s">
        <v>690</v>
      </c>
      <c r="M204" s="38">
        <f t="shared" si="26"/>
        <v>0</v>
      </c>
      <c r="N204" s="70"/>
      <c r="O204" s="3"/>
      <c r="P204" s="3"/>
      <c r="Q204" s="38"/>
      <c r="R204" s="39"/>
      <c r="S204" s="67"/>
      <c r="T204" t="s">
        <v>474</v>
      </c>
      <c r="U204" t="s">
        <v>475</v>
      </c>
      <c r="V204">
        <v>190</v>
      </c>
      <c r="W204">
        <v>0</v>
      </c>
      <c r="X204">
        <v>18748</v>
      </c>
      <c r="Y204" t="s">
        <v>451</v>
      </c>
    </row>
    <row r="205" spans="1:25" x14ac:dyDescent="0.25">
      <c r="A205" s="37" t="s">
        <v>472</v>
      </c>
      <c r="B205" t="s">
        <v>473</v>
      </c>
      <c r="C205">
        <v>2843</v>
      </c>
      <c r="D205" t="s">
        <v>451</v>
      </c>
      <c r="E205" t="s">
        <v>13</v>
      </c>
      <c r="F205" s="70"/>
      <c r="G205" s="3"/>
      <c r="H205" s="3"/>
      <c r="I205" s="38">
        <f t="shared" si="25"/>
        <v>0</v>
      </c>
      <c r="J205" s="70">
        <v>195</v>
      </c>
      <c r="K205" s="3">
        <v>1</v>
      </c>
      <c r="L205" s="3">
        <v>1</v>
      </c>
      <c r="M205" s="38">
        <f t="shared" si="26"/>
        <v>197</v>
      </c>
      <c r="N205" s="70"/>
      <c r="O205" s="3"/>
      <c r="P205" s="3"/>
      <c r="Q205" s="38"/>
      <c r="R205" s="39"/>
      <c r="S205" s="67"/>
      <c r="T205" t="s">
        <v>476</v>
      </c>
      <c r="U205" t="s">
        <v>477</v>
      </c>
      <c r="V205">
        <v>190</v>
      </c>
      <c r="W205">
        <v>0</v>
      </c>
      <c r="X205">
        <v>77118</v>
      </c>
      <c r="Y205" t="s">
        <v>451</v>
      </c>
    </row>
    <row r="206" spans="1:25" x14ac:dyDescent="0.25">
      <c r="A206" s="37" t="s">
        <v>474</v>
      </c>
      <c r="B206" t="s">
        <v>475</v>
      </c>
      <c r="C206">
        <v>18748</v>
      </c>
      <c r="D206" t="s">
        <v>451</v>
      </c>
      <c r="E206" t="s">
        <v>13</v>
      </c>
      <c r="F206" s="70"/>
      <c r="G206" s="3"/>
      <c r="H206" s="3"/>
      <c r="I206" s="38">
        <f t="shared" si="25"/>
        <v>0</v>
      </c>
      <c r="J206" s="70" t="s">
        <v>690</v>
      </c>
      <c r="K206" s="3" t="s">
        <v>690</v>
      </c>
      <c r="L206" s="3" t="s">
        <v>690</v>
      </c>
      <c r="M206" s="38">
        <f t="shared" si="26"/>
        <v>0</v>
      </c>
      <c r="N206" s="70"/>
      <c r="O206" s="3"/>
      <c r="P206" s="3"/>
      <c r="Q206" s="38"/>
      <c r="R206" s="39"/>
      <c r="S206" s="67"/>
      <c r="T206" t="s">
        <v>478</v>
      </c>
      <c r="U206" t="s">
        <v>479</v>
      </c>
      <c r="V206">
        <v>190</v>
      </c>
      <c r="W206">
        <v>0</v>
      </c>
      <c r="X206">
        <v>2844</v>
      </c>
      <c r="Y206" t="s">
        <v>451</v>
      </c>
    </row>
    <row r="207" spans="1:25" x14ac:dyDescent="0.25">
      <c r="A207" s="37" t="s">
        <v>476</v>
      </c>
      <c r="B207" t="s">
        <v>477</v>
      </c>
      <c r="C207">
        <v>77118</v>
      </c>
      <c r="D207" t="s">
        <v>451</v>
      </c>
      <c r="E207" t="s">
        <v>13</v>
      </c>
      <c r="F207" s="70"/>
      <c r="G207" s="3"/>
      <c r="H207" s="3"/>
      <c r="I207" s="38">
        <f t="shared" si="25"/>
        <v>0</v>
      </c>
      <c r="J207" s="70">
        <v>88</v>
      </c>
      <c r="K207" s="3">
        <v>2</v>
      </c>
      <c r="L207" s="3">
        <v>2</v>
      </c>
      <c r="M207" s="38">
        <f t="shared" si="26"/>
        <v>92</v>
      </c>
      <c r="N207" s="70"/>
      <c r="O207" s="3"/>
      <c r="P207" s="3"/>
      <c r="Q207" s="38"/>
      <c r="R207" s="39"/>
      <c r="S207" s="67"/>
      <c r="T207" t="s">
        <v>480</v>
      </c>
      <c r="U207" t="s">
        <v>481</v>
      </c>
      <c r="V207">
        <v>190</v>
      </c>
      <c r="W207">
        <v>0</v>
      </c>
      <c r="X207">
        <v>2842</v>
      </c>
      <c r="Y207" t="s">
        <v>451</v>
      </c>
    </row>
    <row r="208" spans="1:25" x14ac:dyDescent="0.25">
      <c r="A208" s="37" t="s">
        <v>478</v>
      </c>
      <c r="B208" t="s">
        <v>479</v>
      </c>
      <c r="C208">
        <v>2844</v>
      </c>
      <c r="D208" t="s">
        <v>451</v>
      </c>
      <c r="E208" t="s">
        <v>13</v>
      </c>
      <c r="F208" s="70"/>
      <c r="G208" s="3"/>
      <c r="H208" s="3"/>
      <c r="I208" s="38">
        <f t="shared" si="25"/>
        <v>0</v>
      </c>
      <c r="J208" s="70">
        <v>74</v>
      </c>
      <c r="K208" s="3">
        <v>1</v>
      </c>
      <c r="L208" s="3">
        <v>1</v>
      </c>
      <c r="M208" s="38">
        <f t="shared" si="26"/>
        <v>76</v>
      </c>
      <c r="N208" s="70"/>
      <c r="O208" s="3"/>
      <c r="P208" s="3"/>
      <c r="Q208" s="38"/>
      <c r="R208" s="39"/>
      <c r="S208" s="67"/>
      <c r="T208" t="s">
        <v>482</v>
      </c>
      <c r="U208" t="s">
        <v>483</v>
      </c>
      <c r="V208">
        <v>190</v>
      </c>
      <c r="W208">
        <v>0</v>
      </c>
      <c r="X208">
        <v>2847</v>
      </c>
      <c r="Y208" t="s">
        <v>451</v>
      </c>
    </row>
    <row r="209" spans="1:25" x14ac:dyDescent="0.25">
      <c r="A209" s="37" t="s">
        <v>480</v>
      </c>
      <c r="B209" t="s">
        <v>481</v>
      </c>
      <c r="C209">
        <v>2842</v>
      </c>
      <c r="D209" t="s">
        <v>451</v>
      </c>
      <c r="E209" t="s">
        <v>13</v>
      </c>
      <c r="F209" s="70"/>
      <c r="G209" s="3"/>
      <c r="H209" s="3"/>
      <c r="I209" s="38">
        <f t="shared" si="25"/>
        <v>0</v>
      </c>
      <c r="J209" s="70">
        <v>53</v>
      </c>
      <c r="K209" s="3">
        <v>1</v>
      </c>
      <c r="L209" s="3">
        <v>1</v>
      </c>
      <c r="M209" s="38">
        <f t="shared" si="26"/>
        <v>55</v>
      </c>
      <c r="N209" s="70"/>
      <c r="O209" s="3"/>
      <c r="P209" s="3"/>
      <c r="Q209" s="38"/>
      <c r="R209" s="39"/>
      <c r="S209" s="67"/>
      <c r="T209" t="s">
        <v>484</v>
      </c>
      <c r="U209" t="s">
        <v>485</v>
      </c>
      <c r="V209">
        <v>190</v>
      </c>
      <c r="W209">
        <v>0</v>
      </c>
      <c r="X209">
        <v>2845</v>
      </c>
      <c r="Y209" t="s">
        <v>451</v>
      </c>
    </row>
    <row r="210" spans="1:25" x14ac:dyDescent="0.25">
      <c r="A210" s="37" t="s">
        <v>482</v>
      </c>
      <c r="B210" t="s">
        <v>483</v>
      </c>
      <c r="C210">
        <v>2847</v>
      </c>
      <c r="D210" t="s">
        <v>451</v>
      </c>
      <c r="E210" t="s">
        <v>13</v>
      </c>
      <c r="F210" s="70"/>
      <c r="G210" s="3"/>
      <c r="H210" s="3"/>
      <c r="I210" s="38">
        <f t="shared" si="25"/>
        <v>0</v>
      </c>
      <c r="J210" s="70">
        <v>50</v>
      </c>
      <c r="K210" s="3">
        <v>2</v>
      </c>
      <c r="L210" s="3">
        <v>1</v>
      </c>
      <c r="M210" s="38">
        <f t="shared" si="26"/>
        <v>53</v>
      </c>
      <c r="N210" s="70"/>
      <c r="O210" s="3"/>
      <c r="P210" s="3"/>
      <c r="Q210" s="38"/>
      <c r="R210" s="39"/>
      <c r="S210" s="67"/>
      <c r="T210" t="s">
        <v>486</v>
      </c>
      <c r="U210" t="s">
        <v>487</v>
      </c>
      <c r="V210">
        <v>190</v>
      </c>
      <c r="W210">
        <v>0</v>
      </c>
      <c r="X210">
        <v>2846</v>
      </c>
      <c r="Y210" t="s">
        <v>451</v>
      </c>
    </row>
    <row r="211" spans="1:25" x14ac:dyDescent="0.25">
      <c r="A211" s="37" t="s">
        <v>484</v>
      </c>
      <c r="B211" t="s">
        <v>485</v>
      </c>
      <c r="C211">
        <v>2845</v>
      </c>
      <c r="D211" t="s">
        <v>451</v>
      </c>
      <c r="E211" t="s">
        <v>13</v>
      </c>
      <c r="F211" s="70"/>
      <c r="G211" s="3"/>
      <c r="H211" s="3"/>
      <c r="I211" s="38">
        <f t="shared" si="25"/>
        <v>0</v>
      </c>
      <c r="J211" s="70">
        <v>32</v>
      </c>
      <c r="K211" s="3">
        <v>1</v>
      </c>
      <c r="L211" s="3">
        <v>0</v>
      </c>
      <c r="M211" s="38">
        <f t="shared" si="26"/>
        <v>33</v>
      </c>
      <c r="N211" s="70"/>
      <c r="O211" s="3"/>
      <c r="P211" s="3"/>
      <c r="Q211" s="38"/>
      <c r="R211" s="39"/>
      <c r="S211" s="67"/>
      <c r="T211" t="s">
        <v>488</v>
      </c>
      <c r="U211" t="s">
        <v>489</v>
      </c>
      <c r="V211">
        <v>190</v>
      </c>
      <c r="W211">
        <v>0</v>
      </c>
      <c r="X211">
        <v>3241</v>
      </c>
      <c r="Y211" t="s">
        <v>451</v>
      </c>
    </row>
    <row r="212" spans="1:25" x14ac:dyDescent="0.25">
      <c r="A212" s="37" t="s">
        <v>486</v>
      </c>
      <c r="B212" t="s">
        <v>487</v>
      </c>
      <c r="C212">
        <v>2846</v>
      </c>
      <c r="D212" t="s">
        <v>451</v>
      </c>
      <c r="E212" t="s">
        <v>13</v>
      </c>
      <c r="F212" s="70"/>
      <c r="G212" s="3"/>
      <c r="H212" s="3"/>
      <c r="I212" s="38">
        <f t="shared" si="25"/>
        <v>0</v>
      </c>
      <c r="J212" s="70" t="s">
        <v>690</v>
      </c>
      <c r="K212" s="3" t="s">
        <v>690</v>
      </c>
      <c r="L212" s="3" t="s">
        <v>690</v>
      </c>
      <c r="M212" s="38">
        <f t="shared" si="26"/>
        <v>0</v>
      </c>
      <c r="N212" s="70"/>
      <c r="O212" s="3"/>
      <c r="P212" s="3"/>
      <c r="Q212" s="38"/>
      <c r="R212" s="39"/>
      <c r="S212" s="67"/>
      <c r="T212" t="s">
        <v>490</v>
      </c>
      <c r="U212" t="s">
        <v>491</v>
      </c>
      <c r="V212">
        <v>207</v>
      </c>
      <c r="W212">
        <v>2470</v>
      </c>
      <c r="X212">
        <v>14</v>
      </c>
      <c r="Y212" t="s">
        <v>494</v>
      </c>
    </row>
    <row r="213" spans="1:25" ht="15.75" thickBot="1" x14ac:dyDescent="0.3">
      <c r="A213" s="41" t="s">
        <v>488</v>
      </c>
      <c r="B213" s="13" t="s">
        <v>489</v>
      </c>
      <c r="C213" s="13">
        <v>3241</v>
      </c>
      <c r="D213" s="13" t="s">
        <v>451</v>
      </c>
      <c r="E213" s="13" t="s">
        <v>13</v>
      </c>
      <c r="F213" s="77"/>
      <c r="G213" s="32"/>
      <c r="H213" s="32"/>
      <c r="I213" s="52">
        <f t="shared" si="25"/>
        <v>0</v>
      </c>
      <c r="J213" s="77">
        <v>103</v>
      </c>
      <c r="K213" s="32">
        <v>2</v>
      </c>
      <c r="L213" s="32">
        <v>1</v>
      </c>
      <c r="M213" s="52">
        <f t="shared" si="26"/>
        <v>106</v>
      </c>
      <c r="N213" s="77"/>
      <c r="O213" s="32"/>
      <c r="P213" s="32"/>
      <c r="Q213" s="52"/>
      <c r="R213" s="39"/>
      <c r="S213" s="67"/>
      <c r="T213" t="s">
        <v>492</v>
      </c>
      <c r="U213" t="s">
        <v>493</v>
      </c>
      <c r="V213">
        <v>207</v>
      </c>
      <c r="W213">
        <v>0</v>
      </c>
      <c r="X213">
        <v>1</v>
      </c>
      <c r="Y213" t="s">
        <v>494</v>
      </c>
    </row>
    <row r="214" spans="1:25" x14ac:dyDescent="0.25">
      <c r="A214" s="37" t="s">
        <v>490</v>
      </c>
      <c r="B214" t="s">
        <v>491</v>
      </c>
      <c r="C214">
        <v>14</v>
      </c>
      <c r="D214" t="s">
        <v>494</v>
      </c>
      <c r="E214" t="s">
        <v>14</v>
      </c>
      <c r="F214" s="70"/>
      <c r="G214" s="3"/>
      <c r="H214" s="3"/>
      <c r="I214" s="38">
        <f t="shared" si="25"/>
        <v>2470</v>
      </c>
      <c r="J214" s="70">
        <v>257</v>
      </c>
      <c r="K214" s="3">
        <v>11</v>
      </c>
      <c r="L214" s="3">
        <v>1</v>
      </c>
      <c r="M214" s="38">
        <f t="shared" si="26"/>
        <v>269</v>
      </c>
      <c r="N214" s="70"/>
      <c r="O214" s="3"/>
      <c r="P214" s="3"/>
      <c r="Q214" s="38">
        <f>SUM(M214:M242)-I214</f>
        <v>2053</v>
      </c>
      <c r="R214" s="39">
        <f t="shared" ref="R214" si="27">Q214/I214</f>
        <v>0.83117408906882595</v>
      </c>
      <c r="S214" s="67"/>
      <c r="T214" t="s">
        <v>495</v>
      </c>
      <c r="U214" t="s">
        <v>496</v>
      </c>
      <c r="V214">
        <v>207</v>
      </c>
      <c r="W214">
        <v>0</v>
      </c>
      <c r="X214">
        <v>7</v>
      </c>
      <c r="Y214" t="s">
        <v>494</v>
      </c>
    </row>
    <row r="215" spans="1:25" x14ac:dyDescent="0.25">
      <c r="A215" s="37" t="s">
        <v>492</v>
      </c>
      <c r="B215" t="s">
        <v>493</v>
      </c>
      <c r="C215">
        <v>1</v>
      </c>
      <c r="D215" t="s">
        <v>494</v>
      </c>
      <c r="E215" t="s">
        <v>14</v>
      </c>
      <c r="F215" s="70"/>
      <c r="G215" s="3"/>
      <c r="H215" s="3"/>
      <c r="I215" s="38">
        <f t="shared" si="25"/>
        <v>0</v>
      </c>
      <c r="J215" s="70">
        <v>133</v>
      </c>
      <c r="K215" s="3">
        <v>3</v>
      </c>
      <c r="L215" s="3">
        <v>2</v>
      </c>
      <c r="M215" s="38">
        <f t="shared" si="26"/>
        <v>138</v>
      </c>
      <c r="N215" s="70"/>
      <c r="O215" s="3"/>
      <c r="P215" s="3"/>
      <c r="Q215" s="38"/>
      <c r="R215" s="39"/>
      <c r="S215" s="67"/>
      <c r="T215" t="s">
        <v>497</v>
      </c>
      <c r="U215" t="s">
        <v>498</v>
      </c>
      <c r="V215">
        <v>207</v>
      </c>
      <c r="W215">
        <v>0</v>
      </c>
      <c r="X215">
        <v>3</v>
      </c>
      <c r="Y215" t="s">
        <v>494</v>
      </c>
    </row>
    <row r="216" spans="1:25" x14ac:dyDescent="0.25">
      <c r="A216" s="37" t="s">
        <v>495</v>
      </c>
      <c r="B216" t="s">
        <v>496</v>
      </c>
      <c r="C216">
        <v>7</v>
      </c>
      <c r="D216" t="s">
        <v>494</v>
      </c>
      <c r="E216" t="s">
        <v>14</v>
      </c>
      <c r="F216" s="70"/>
      <c r="G216" s="3"/>
      <c r="H216" s="3"/>
      <c r="I216" s="38">
        <f t="shared" si="25"/>
        <v>0</v>
      </c>
      <c r="J216" s="70">
        <v>597</v>
      </c>
      <c r="K216" s="3">
        <v>18</v>
      </c>
      <c r="L216" s="3">
        <v>11</v>
      </c>
      <c r="M216" s="38">
        <f t="shared" si="26"/>
        <v>626</v>
      </c>
      <c r="N216" s="70"/>
      <c r="O216" s="3"/>
      <c r="P216" s="3"/>
      <c r="Q216" s="38"/>
      <c r="R216" s="39"/>
      <c r="S216" s="67"/>
      <c r="T216" t="s">
        <v>499</v>
      </c>
      <c r="U216" t="s">
        <v>500</v>
      </c>
      <c r="V216">
        <v>207</v>
      </c>
      <c r="W216">
        <v>0</v>
      </c>
      <c r="X216">
        <v>10</v>
      </c>
      <c r="Y216" t="s">
        <v>494</v>
      </c>
    </row>
    <row r="217" spans="1:25" x14ac:dyDescent="0.25">
      <c r="A217" s="37" t="s">
        <v>497</v>
      </c>
      <c r="B217" t="s">
        <v>498</v>
      </c>
      <c r="C217">
        <v>3</v>
      </c>
      <c r="D217" t="s">
        <v>494</v>
      </c>
      <c r="E217" t="s">
        <v>14</v>
      </c>
      <c r="F217" s="70"/>
      <c r="G217" s="3"/>
      <c r="H217" s="3"/>
      <c r="I217" s="38">
        <f t="shared" si="25"/>
        <v>0</v>
      </c>
      <c r="J217" s="70">
        <v>200</v>
      </c>
      <c r="K217" s="3">
        <v>9</v>
      </c>
      <c r="L217" s="3">
        <v>2</v>
      </c>
      <c r="M217" s="38">
        <f t="shared" si="26"/>
        <v>211</v>
      </c>
      <c r="N217" s="70"/>
      <c r="O217" s="3"/>
      <c r="P217" s="3"/>
      <c r="Q217" s="38"/>
      <c r="R217" s="39"/>
      <c r="S217" s="67"/>
      <c r="T217" t="s">
        <v>501</v>
      </c>
      <c r="U217" t="s">
        <v>502</v>
      </c>
      <c r="V217">
        <v>207</v>
      </c>
      <c r="W217">
        <v>0</v>
      </c>
      <c r="X217" t="s">
        <v>505</v>
      </c>
      <c r="Y217" t="s">
        <v>494</v>
      </c>
    </row>
    <row r="218" spans="1:25" x14ac:dyDescent="0.25">
      <c r="A218" s="37" t="s">
        <v>499</v>
      </c>
      <c r="B218" t="s">
        <v>500</v>
      </c>
      <c r="C218">
        <v>10</v>
      </c>
      <c r="D218" t="s">
        <v>494</v>
      </c>
      <c r="E218" t="s">
        <v>14</v>
      </c>
      <c r="F218" s="70"/>
      <c r="G218" s="3"/>
      <c r="H218" s="3"/>
      <c r="I218" s="38">
        <f t="shared" si="25"/>
        <v>0</v>
      </c>
      <c r="J218" s="70">
        <v>61</v>
      </c>
      <c r="K218" s="3">
        <v>2</v>
      </c>
      <c r="L218" s="3">
        <v>1</v>
      </c>
      <c r="M218" s="38">
        <f t="shared" si="26"/>
        <v>64</v>
      </c>
      <c r="N218" s="70"/>
      <c r="O218" s="3"/>
      <c r="P218" s="3"/>
      <c r="Q218" s="38"/>
      <c r="R218" s="39"/>
      <c r="S218" s="67"/>
      <c r="T218" t="s">
        <v>503</v>
      </c>
      <c r="U218" t="s">
        <v>504</v>
      </c>
      <c r="V218">
        <v>207</v>
      </c>
      <c r="W218">
        <v>0</v>
      </c>
      <c r="X218" t="s">
        <v>508</v>
      </c>
      <c r="Y218" t="s">
        <v>494</v>
      </c>
    </row>
    <row r="219" spans="1:25" x14ac:dyDescent="0.25">
      <c r="A219" s="37" t="s">
        <v>501</v>
      </c>
      <c r="B219" t="s">
        <v>502</v>
      </c>
      <c r="C219" t="s">
        <v>505</v>
      </c>
      <c r="D219" t="s">
        <v>494</v>
      </c>
      <c r="E219" t="s">
        <v>14</v>
      </c>
      <c r="F219" s="70"/>
      <c r="G219" s="3"/>
      <c r="H219" s="3"/>
      <c r="I219" s="38">
        <f t="shared" si="25"/>
        <v>0</v>
      </c>
      <c r="J219" s="70">
        <v>2</v>
      </c>
      <c r="K219" s="3">
        <v>0</v>
      </c>
      <c r="L219" s="3">
        <v>0</v>
      </c>
      <c r="M219" s="38">
        <f t="shared" si="26"/>
        <v>2</v>
      </c>
      <c r="N219" s="70"/>
      <c r="O219" s="3"/>
      <c r="P219" s="3"/>
      <c r="Q219" s="38"/>
      <c r="R219" s="39"/>
      <c r="S219" s="67"/>
      <c r="T219" t="s">
        <v>506</v>
      </c>
      <c r="U219" t="s">
        <v>507</v>
      </c>
      <c r="V219">
        <v>207</v>
      </c>
      <c r="W219">
        <v>0</v>
      </c>
      <c r="X219">
        <v>2</v>
      </c>
      <c r="Y219" t="s">
        <v>494</v>
      </c>
    </row>
    <row r="220" spans="1:25" x14ac:dyDescent="0.25">
      <c r="A220" s="37" t="s">
        <v>503</v>
      </c>
      <c r="B220" t="s">
        <v>504</v>
      </c>
      <c r="C220" t="s">
        <v>508</v>
      </c>
      <c r="D220" t="s">
        <v>494</v>
      </c>
      <c r="E220" t="s">
        <v>14</v>
      </c>
      <c r="F220" s="70"/>
      <c r="G220" s="3"/>
      <c r="H220" s="3"/>
      <c r="I220" s="38">
        <f t="shared" si="25"/>
        <v>0</v>
      </c>
      <c r="J220" s="70" t="s">
        <v>690</v>
      </c>
      <c r="K220" s="3" t="s">
        <v>690</v>
      </c>
      <c r="L220" s="3" t="s">
        <v>690</v>
      </c>
      <c r="M220" s="38">
        <f t="shared" si="26"/>
        <v>0</v>
      </c>
      <c r="N220" s="70"/>
      <c r="O220" s="3"/>
      <c r="P220" s="3"/>
      <c r="Q220" s="38"/>
      <c r="R220" s="39"/>
      <c r="S220" s="67"/>
      <c r="T220" t="s">
        <v>509</v>
      </c>
      <c r="U220" t="s">
        <v>510</v>
      </c>
      <c r="V220">
        <v>207</v>
      </c>
      <c r="W220">
        <v>0</v>
      </c>
      <c r="X220" t="s">
        <v>513</v>
      </c>
      <c r="Y220" t="s">
        <v>494</v>
      </c>
    </row>
    <row r="221" spans="1:25" x14ac:dyDescent="0.25">
      <c r="A221" s="37" t="s">
        <v>506</v>
      </c>
      <c r="B221" t="s">
        <v>507</v>
      </c>
      <c r="C221">
        <v>2</v>
      </c>
      <c r="D221" t="s">
        <v>494</v>
      </c>
      <c r="E221" t="s">
        <v>14</v>
      </c>
      <c r="F221" s="70"/>
      <c r="G221" s="3"/>
      <c r="H221" s="3"/>
      <c r="I221" s="38">
        <f t="shared" si="25"/>
        <v>0</v>
      </c>
      <c r="J221" s="70">
        <v>130</v>
      </c>
      <c r="K221" s="3">
        <v>4</v>
      </c>
      <c r="L221" s="3">
        <v>4</v>
      </c>
      <c r="M221" s="38">
        <f t="shared" si="26"/>
        <v>138</v>
      </c>
      <c r="N221" s="70"/>
      <c r="O221" s="3"/>
      <c r="P221" s="3"/>
      <c r="Q221" s="38"/>
      <c r="R221" s="39"/>
      <c r="S221" s="67"/>
      <c r="T221" t="s">
        <v>511</v>
      </c>
      <c r="U221" t="s">
        <v>512</v>
      </c>
      <c r="V221">
        <v>207</v>
      </c>
      <c r="W221">
        <v>0</v>
      </c>
      <c r="X221" t="s">
        <v>516</v>
      </c>
      <c r="Y221" t="s">
        <v>494</v>
      </c>
    </row>
    <row r="222" spans="1:25" x14ac:dyDescent="0.25">
      <c r="A222" s="37" t="s">
        <v>509</v>
      </c>
      <c r="B222" t="s">
        <v>510</v>
      </c>
      <c r="C222" t="s">
        <v>513</v>
      </c>
      <c r="D222" t="s">
        <v>494</v>
      </c>
      <c r="E222" t="s">
        <v>14</v>
      </c>
      <c r="F222" s="70"/>
      <c r="G222" s="3"/>
      <c r="H222" s="3"/>
      <c r="I222" s="38">
        <f t="shared" si="25"/>
        <v>0</v>
      </c>
      <c r="J222" s="70">
        <v>309</v>
      </c>
      <c r="K222" s="3">
        <v>29</v>
      </c>
      <c r="L222" s="3">
        <v>4</v>
      </c>
      <c r="M222" s="38">
        <f t="shared" si="26"/>
        <v>342</v>
      </c>
      <c r="N222" s="70"/>
      <c r="O222" s="3"/>
      <c r="P222" s="3"/>
      <c r="Q222" s="38"/>
      <c r="R222" s="39"/>
      <c r="S222" s="67"/>
      <c r="T222" t="s">
        <v>514</v>
      </c>
      <c r="U222" t="s">
        <v>515</v>
      </c>
      <c r="V222">
        <v>207</v>
      </c>
      <c r="W222">
        <v>0</v>
      </c>
      <c r="X222">
        <v>6</v>
      </c>
      <c r="Y222" t="s">
        <v>494</v>
      </c>
    </row>
    <row r="223" spans="1:25" x14ac:dyDescent="0.25">
      <c r="A223" s="37" t="s">
        <v>511</v>
      </c>
      <c r="B223" t="s">
        <v>512</v>
      </c>
      <c r="C223" t="s">
        <v>516</v>
      </c>
      <c r="D223" t="s">
        <v>494</v>
      </c>
      <c r="E223" t="s">
        <v>14</v>
      </c>
      <c r="F223" s="70"/>
      <c r="G223" s="3"/>
      <c r="H223" s="3"/>
      <c r="I223" s="38">
        <f t="shared" si="25"/>
        <v>0</v>
      </c>
      <c r="J223" s="70">
        <v>158</v>
      </c>
      <c r="K223" s="3">
        <v>1</v>
      </c>
      <c r="L223" s="3">
        <v>1</v>
      </c>
      <c r="M223" s="38">
        <f t="shared" si="26"/>
        <v>160</v>
      </c>
      <c r="N223" s="70"/>
      <c r="O223" s="3"/>
      <c r="P223" s="3"/>
      <c r="Q223" s="38"/>
      <c r="R223" s="39"/>
      <c r="S223" s="67"/>
      <c r="T223" t="s">
        <v>517</v>
      </c>
      <c r="U223" t="s">
        <v>518</v>
      </c>
      <c r="V223">
        <v>207</v>
      </c>
      <c r="W223">
        <v>0</v>
      </c>
      <c r="X223" t="s">
        <v>521</v>
      </c>
      <c r="Y223" t="s">
        <v>494</v>
      </c>
    </row>
    <row r="224" spans="1:25" x14ac:dyDescent="0.25">
      <c r="A224" s="37" t="s">
        <v>514</v>
      </c>
      <c r="B224" t="s">
        <v>515</v>
      </c>
      <c r="C224">
        <v>6</v>
      </c>
      <c r="D224" t="s">
        <v>494</v>
      </c>
      <c r="E224" t="s">
        <v>14</v>
      </c>
      <c r="F224" s="70"/>
      <c r="G224" s="3"/>
      <c r="H224" s="3"/>
      <c r="I224" s="38">
        <f t="shared" si="25"/>
        <v>0</v>
      </c>
      <c r="J224" s="70">
        <v>107</v>
      </c>
      <c r="K224" s="3">
        <v>44</v>
      </c>
      <c r="L224" s="3">
        <v>3</v>
      </c>
      <c r="M224" s="38">
        <f t="shared" si="26"/>
        <v>154</v>
      </c>
      <c r="N224" s="70"/>
      <c r="O224" s="3"/>
      <c r="P224" s="3"/>
      <c r="Q224" s="38"/>
      <c r="R224" s="39"/>
      <c r="S224" s="67"/>
      <c r="T224" t="s">
        <v>519</v>
      </c>
      <c r="U224" t="s">
        <v>520</v>
      </c>
      <c r="V224">
        <v>207</v>
      </c>
      <c r="W224">
        <v>0</v>
      </c>
      <c r="X224">
        <v>15</v>
      </c>
      <c r="Y224" t="s">
        <v>494</v>
      </c>
    </row>
    <row r="225" spans="1:25" x14ac:dyDescent="0.25">
      <c r="A225" s="37" t="s">
        <v>517</v>
      </c>
      <c r="B225" t="s">
        <v>518</v>
      </c>
      <c r="C225" t="s">
        <v>521</v>
      </c>
      <c r="D225" t="s">
        <v>494</v>
      </c>
      <c r="E225" t="s">
        <v>14</v>
      </c>
      <c r="F225" s="70"/>
      <c r="G225" s="3"/>
      <c r="H225" s="3"/>
      <c r="I225" s="38">
        <f t="shared" si="25"/>
        <v>0</v>
      </c>
      <c r="J225" s="70">
        <v>2</v>
      </c>
      <c r="K225" s="3">
        <v>1</v>
      </c>
      <c r="L225" s="3">
        <v>0</v>
      </c>
      <c r="M225" s="38">
        <f t="shared" si="26"/>
        <v>3</v>
      </c>
      <c r="N225" s="70"/>
      <c r="O225" s="3"/>
      <c r="P225" s="3"/>
      <c r="Q225" s="38"/>
      <c r="R225" s="39"/>
      <c r="S225" s="67"/>
      <c r="T225" t="s">
        <v>522</v>
      </c>
      <c r="U225" t="s">
        <v>523</v>
      </c>
      <c r="V225">
        <v>207</v>
      </c>
      <c r="W225">
        <v>0</v>
      </c>
      <c r="X225">
        <v>11</v>
      </c>
      <c r="Y225" t="s">
        <v>494</v>
      </c>
    </row>
    <row r="226" spans="1:25" x14ac:dyDescent="0.25">
      <c r="A226" s="37" t="s">
        <v>519</v>
      </c>
      <c r="B226" t="s">
        <v>520</v>
      </c>
      <c r="C226">
        <v>15</v>
      </c>
      <c r="D226" t="s">
        <v>494</v>
      </c>
      <c r="E226" t="s">
        <v>14</v>
      </c>
      <c r="F226" s="70"/>
      <c r="G226" s="3"/>
      <c r="H226" s="3"/>
      <c r="I226" s="38">
        <f t="shared" si="25"/>
        <v>0</v>
      </c>
      <c r="J226" s="70">
        <v>97</v>
      </c>
      <c r="K226" s="3">
        <v>23</v>
      </c>
      <c r="L226" s="3">
        <v>9</v>
      </c>
      <c r="M226" s="38">
        <f t="shared" si="26"/>
        <v>129</v>
      </c>
      <c r="N226" s="70"/>
      <c r="O226" s="3"/>
      <c r="P226" s="3"/>
      <c r="Q226" s="38"/>
      <c r="R226" s="39"/>
      <c r="S226" s="67"/>
      <c r="T226" t="s">
        <v>524</v>
      </c>
      <c r="U226" t="s">
        <v>525</v>
      </c>
      <c r="V226">
        <v>207</v>
      </c>
      <c r="W226">
        <v>0</v>
      </c>
      <c r="X226" t="s">
        <v>528</v>
      </c>
      <c r="Y226" t="s">
        <v>494</v>
      </c>
    </row>
    <row r="227" spans="1:25" x14ac:dyDescent="0.25">
      <c r="A227" s="37" t="s">
        <v>522</v>
      </c>
      <c r="B227" t="s">
        <v>523</v>
      </c>
      <c r="C227">
        <v>11</v>
      </c>
      <c r="D227" t="s">
        <v>494</v>
      </c>
      <c r="E227" t="s">
        <v>14</v>
      </c>
      <c r="F227" s="70"/>
      <c r="G227" s="3"/>
      <c r="H227" s="3"/>
      <c r="I227" s="38">
        <f t="shared" si="25"/>
        <v>0</v>
      </c>
      <c r="J227" s="70">
        <v>63</v>
      </c>
      <c r="K227" s="3">
        <v>1</v>
      </c>
      <c r="L227" s="3">
        <v>1</v>
      </c>
      <c r="M227" s="38">
        <f t="shared" si="26"/>
        <v>65</v>
      </c>
      <c r="N227" s="70"/>
      <c r="O227" s="3"/>
      <c r="P227" s="3"/>
      <c r="Q227" s="38"/>
      <c r="R227" s="39"/>
      <c r="S227" s="67"/>
      <c r="T227" t="s">
        <v>526</v>
      </c>
      <c r="U227" t="s">
        <v>527</v>
      </c>
      <c r="V227">
        <v>207</v>
      </c>
      <c r="W227">
        <v>0</v>
      </c>
      <c r="X227" t="s">
        <v>531</v>
      </c>
      <c r="Y227" t="s">
        <v>494</v>
      </c>
    </row>
    <row r="228" spans="1:25" x14ac:dyDescent="0.25">
      <c r="A228" s="37" t="s">
        <v>524</v>
      </c>
      <c r="B228" t="s">
        <v>525</v>
      </c>
      <c r="C228" t="s">
        <v>528</v>
      </c>
      <c r="D228" t="s">
        <v>494</v>
      </c>
      <c r="E228" t="s">
        <v>14</v>
      </c>
      <c r="F228" s="70"/>
      <c r="G228" s="3"/>
      <c r="H228" s="3"/>
      <c r="I228" s="38">
        <f t="shared" si="25"/>
        <v>0</v>
      </c>
      <c r="J228" s="70">
        <v>316</v>
      </c>
      <c r="K228" s="3">
        <v>5</v>
      </c>
      <c r="L228" s="3">
        <v>2</v>
      </c>
      <c r="M228" s="38">
        <f t="shared" si="26"/>
        <v>323</v>
      </c>
      <c r="N228" s="70"/>
      <c r="O228" s="3"/>
      <c r="P228" s="3"/>
      <c r="Q228" s="38"/>
      <c r="R228" s="39"/>
      <c r="S228" s="67"/>
      <c r="T228" t="s">
        <v>529</v>
      </c>
      <c r="U228" t="s">
        <v>530</v>
      </c>
      <c r="V228">
        <v>207</v>
      </c>
      <c r="W228">
        <v>0</v>
      </c>
      <c r="X228" t="s">
        <v>534</v>
      </c>
      <c r="Y228" t="s">
        <v>494</v>
      </c>
    </row>
    <row r="229" spans="1:25" x14ac:dyDescent="0.25">
      <c r="A229" s="37" t="s">
        <v>526</v>
      </c>
      <c r="B229" t="s">
        <v>527</v>
      </c>
      <c r="C229" t="s">
        <v>531</v>
      </c>
      <c r="D229" t="s">
        <v>494</v>
      </c>
      <c r="E229" t="s">
        <v>14</v>
      </c>
      <c r="F229" s="70"/>
      <c r="G229" s="3"/>
      <c r="H229" s="3"/>
      <c r="I229" s="38">
        <f t="shared" si="25"/>
        <v>0</v>
      </c>
      <c r="J229" s="70">
        <v>24</v>
      </c>
      <c r="K229" s="3">
        <v>1</v>
      </c>
      <c r="L229" s="3">
        <v>1</v>
      </c>
      <c r="M229" s="38">
        <f t="shared" si="26"/>
        <v>26</v>
      </c>
      <c r="N229" s="70"/>
      <c r="O229" s="3"/>
      <c r="P229" s="3"/>
      <c r="Q229" s="38"/>
      <c r="R229" s="39"/>
      <c r="S229" s="67"/>
      <c r="T229" t="s">
        <v>532</v>
      </c>
      <c r="U229" t="s">
        <v>533</v>
      </c>
      <c r="V229">
        <v>207</v>
      </c>
      <c r="W229">
        <v>0</v>
      </c>
      <c r="X229">
        <v>5</v>
      </c>
      <c r="Y229" t="s">
        <v>494</v>
      </c>
    </row>
    <row r="230" spans="1:25" x14ac:dyDescent="0.25">
      <c r="A230" s="37" t="s">
        <v>529</v>
      </c>
      <c r="B230" t="s">
        <v>530</v>
      </c>
      <c r="C230" t="s">
        <v>534</v>
      </c>
      <c r="D230" t="s">
        <v>494</v>
      </c>
      <c r="E230" t="s">
        <v>14</v>
      </c>
      <c r="F230" s="70"/>
      <c r="G230" s="3"/>
      <c r="H230" s="3"/>
      <c r="I230" s="38">
        <f t="shared" si="25"/>
        <v>0</v>
      </c>
      <c r="J230" s="70">
        <v>9</v>
      </c>
      <c r="K230" s="3">
        <v>0</v>
      </c>
      <c r="L230" s="3">
        <v>1</v>
      </c>
      <c r="M230" s="38">
        <f t="shared" si="26"/>
        <v>10</v>
      </c>
      <c r="N230" s="70"/>
      <c r="O230" s="3"/>
      <c r="P230" s="3"/>
      <c r="Q230" s="38"/>
      <c r="R230" s="39"/>
      <c r="S230" s="67"/>
      <c r="T230" t="s">
        <v>535</v>
      </c>
      <c r="U230" t="s">
        <v>536</v>
      </c>
      <c r="V230">
        <v>207</v>
      </c>
      <c r="W230">
        <v>0</v>
      </c>
      <c r="X230">
        <v>9</v>
      </c>
      <c r="Y230" t="s">
        <v>494</v>
      </c>
    </row>
    <row r="231" spans="1:25" x14ac:dyDescent="0.25">
      <c r="A231" s="37" t="s">
        <v>532</v>
      </c>
      <c r="B231" t="s">
        <v>533</v>
      </c>
      <c r="C231">
        <v>5</v>
      </c>
      <c r="D231" t="s">
        <v>494</v>
      </c>
      <c r="E231" t="s">
        <v>14</v>
      </c>
      <c r="F231" s="70"/>
      <c r="G231" s="3"/>
      <c r="H231" s="3"/>
      <c r="I231" s="38">
        <f t="shared" si="25"/>
        <v>0</v>
      </c>
      <c r="J231" s="70">
        <v>100</v>
      </c>
      <c r="K231" s="3">
        <v>11</v>
      </c>
      <c r="L231" s="3">
        <v>7</v>
      </c>
      <c r="M231" s="38">
        <f t="shared" si="26"/>
        <v>118</v>
      </c>
      <c r="N231" s="70"/>
      <c r="O231" s="3"/>
      <c r="P231" s="3"/>
      <c r="Q231" s="38"/>
      <c r="R231" s="39"/>
      <c r="S231" s="67"/>
      <c r="T231" t="s">
        <v>537</v>
      </c>
      <c r="U231" t="s">
        <v>538</v>
      </c>
      <c r="V231">
        <v>210</v>
      </c>
      <c r="W231">
        <v>12044</v>
      </c>
      <c r="X231">
        <v>2933</v>
      </c>
      <c r="Y231" t="s">
        <v>688</v>
      </c>
    </row>
    <row r="232" spans="1:25" ht="15.75" thickBot="1" x14ac:dyDescent="0.3">
      <c r="A232" s="37" t="s">
        <v>535</v>
      </c>
      <c r="B232" t="s">
        <v>536</v>
      </c>
      <c r="C232">
        <v>9</v>
      </c>
      <c r="D232" t="s">
        <v>494</v>
      </c>
      <c r="E232" t="s">
        <v>14</v>
      </c>
      <c r="F232" s="70"/>
      <c r="G232" s="3"/>
      <c r="H232" s="3"/>
      <c r="I232" s="38">
        <f t="shared" si="25"/>
        <v>0</v>
      </c>
      <c r="J232" s="70">
        <v>51</v>
      </c>
      <c r="K232" s="3">
        <v>3</v>
      </c>
      <c r="L232" s="3">
        <v>1</v>
      </c>
      <c r="M232" s="38">
        <f t="shared" si="26"/>
        <v>55</v>
      </c>
      <c r="N232" s="70"/>
      <c r="O232" s="3"/>
      <c r="P232" s="3"/>
      <c r="Q232" s="38"/>
      <c r="R232" s="39"/>
      <c r="S232" s="67"/>
      <c r="T232" t="s">
        <v>539</v>
      </c>
      <c r="U232" t="s">
        <v>540</v>
      </c>
      <c r="V232">
        <v>210</v>
      </c>
      <c r="W232">
        <v>0</v>
      </c>
      <c r="X232">
        <v>2934</v>
      </c>
      <c r="Y232" t="s">
        <v>688</v>
      </c>
    </row>
    <row r="233" spans="1:25" x14ac:dyDescent="0.25">
      <c r="A233" s="36" t="s">
        <v>541</v>
      </c>
      <c r="B233" s="11" t="s">
        <v>542</v>
      </c>
      <c r="C233" s="11"/>
      <c r="D233" s="11" t="s">
        <v>543</v>
      </c>
      <c r="E233" s="11" t="s">
        <v>15</v>
      </c>
      <c r="F233" s="76"/>
      <c r="G233" s="50"/>
      <c r="H233" s="50"/>
      <c r="I233" s="51">
        <f t="shared" si="25"/>
        <v>0</v>
      </c>
      <c r="J233" s="76">
        <v>117</v>
      </c>
      <c r="K233" s="50">
        <v>1</v>
      </c>
      <c r="L233" s="50">
        <v>0</v>
      </c>
      <c r="M233" s="51">
        <f t="shared" ref="M233:M256" si="28">SUM(J233:L233)</f>
        <v>118</v>
      </c>
      <c r="N233" s="76"/>
      <c r="O233" s="50"/>
      <c r="P233" s="50"/>
      <c r="Q233" s="51"/>
      <c r="R233" s="39"/>
      <c r="S233" s="67"/>
      <c r="T233" t="s">
        <v>544</v>
      </c>
      <c r="U233" t="s">
        <v>545</v>
      </c>
      <c r="V233">
        <v>210</v>
      </c>
      <c r="W233">
        <v>0</v>
      </c>
      <c r="X233">
        <v>3219</v>
      </c>
      <c r="Y233" t="s">
        <v>688</v>
      </c>
    </row>
    <row r="234" spans="1:25" x14ac:dyDescent="0.25">
      <c r="A234" s="37" t="s">
        <v>546</v>
      </c>
      <c r="B234" t="s">
        <v>547</v>
      </c>
      <c r="D234" t="s">
        <v>543</v>
      </c>
      <c r="E234" t="s">
        <v>15</v>
      </c>
      <c r="F234" s="70"/>
      <c r="G234" s="3"/>
      <c r="H234" s="3"/>
      <c r="I234" s="38">
        <f t="shared" si="25"/>
        <v>0</v>
      </c>
      <c r="J234" s="70">
        <v>75</v>
      </c>
      <c r="K234" s="3">
        <v>3</v>
      </c>
      <c r="L234" s="3">
        <v>3</v>
      </c>
      <c r="M234" s="38">
        <f t="shared" si="28"/>
        <v>81</v>
      </c>
      <c r="N234" s="70"/>
      <c r="O234" s="3"/>
      <c r="P234" s="3"/>
      <c r="Q234" s="38"/>
      <c r="R234" s="39"/>
      <c r="S234" s="67"/>
      <c r="T234" t="s">
        <v>548</v>
      </c>
      <c r="U234" t="s">
        <v>689</v>
      </c>
      <c r="V234">
        <v>210</v>
      </c>
      <c r="W234">
        <v>0</v>
      </c>
      <c r="X234">
        <v>2945</v>
      </c>
      <c r="Y234" t="s">
        <v>688</v>
      </c>
    </row>
    <row r="235" spans="1:25" x14ac:dyDescent="0.25">
      <c r="A235" s="37" t="s">
        <v>549</v>
      </c>
      <c r="B235" t="s">
        <v>550</v>
      </c>
      <c r="D235" t="s">
        <v>543</v>
      </c>
      <c r="E235" t="s">
        <v>15</v>
      </c>
      <c r="F235" s="70"/>
      <c r="G235" s="3"/>
      <c r="H235" s="3"/>
      <c r="I235" s="38">
        <f t="shared" si="25"/>
        <v>0</v>
      </c>
      <c r="J235" s="70">
        <v>25</v>
      </c>
      <c r="K235" s="3">
        <v>2</v>
      </c>
      <c r="L235" s="3">
        <v>0</v>
      </c>
      <c r="M235" s="38">
        <f t="shared" si="28"/>
        <v>27</v>
      </c>
      <c r="N235" s="70"/>
      <c r="O235" s="3"/>
      <c r="P235" s="3"/>
      <c r="Q235" s="38"/>
      <c r="R235" s="39"/>
      <c r="S235" s="67"/>
      <c r="T235" t="s">
        <v>551</v>
      </c>
      <c r="U235" t="s">
        <v>552</v>
      </c>
      <c r="V235">
        <v>210</v>
      </c>
      <c r="W235">
        <v>0</v>
      </c>
      <c r="X235">
        <v>2946</v>
      </c>
      <c r="Y235" t="s">
        <v>688</v>
      </c>
    </row>
    <row r="236" spans="1:25" x14ac:dyDescent="0.25">
      <c r="A236" s="37" t="s">
        <v>553</v>
      </c>
      <c r="B236" t="s">
        <v>554</v>
      </c>
      <c r="D236" t="s">
        <v>543</v>
      </c>
      <c r="E236" t="s">
        <v>15</v>
      </c>
      <c r="F236" s="70"/>
      <c r="G236" s="3"/>
      <c r="H236" s="3"/>
      <c r="I236" s="38">
        <f t="shared" si="25"/>
        <v>0</v>
      </c>
      <c r="J236" s="70">
        <v>294</v>
      </c>
      <c r="K236" s="3">
        <v>9</v>
      </c>
      <c r="L236" s="3">
        <v>7</v>
      </c>
      <c r="M236" s="38">
        <f t="shared" si="28"/>
        <v>310</v>
      </c>
      <c r="N236" s="70"/>
      <c r="O236" s="3"/>
      <c r="P236" s="3"/>
      <c r="Q236" s="38"/>
      <c r="R236" s="39"/>
      <c r="S236" s="67"/>
      <c r="T236" t="s">
        <v>555</v>
      </c>
      <c r="U236" t="s">
        <v>556</v>
      </c>
      <c r="V236">
        <v>210</v>
      </c>
      <c r="W236">
        <v>0</v>
      </c>
      <c r="X236">
        <v>2947</v>
      </c>
      <c r="Y236" t="s">
        <v>688</v>
      </c>
    </row>
    <row r="237" spans="1:25" x14ac:dyDescent="0.25">
      <c r="A237" s="37" t="s">
        <v>557</v>
      </c>
      <c r="B237" t="s">
        <v>558</v>
      </c>
      <c r="D237" t="s">
        <v>543</v>
      </c>
      <c r="E237" t="s">
        <v>15</v>
      </c>
      <c r="F237" s="70"/>
      <c r="G237" s="3"/>
      <c r="H237" s="3"/>
      <c r="I237" s="38">
        <f t="shared" si="25"/>
        <v>0</v>
      </c>
      <c r="J237" s="70">
        <v>444</v>
      </c>
      <c r="K237" s="3">
        <v>16</v>
      </c>
      <c r="L237" s="3">
        <v>12</v>
      </c>
      <c r="M237" s="38">
        <f t="shared" si="28"/>
        <v>472</v>
      </c>
      <c r="N237" s="70"/>
      <c r="O237" s="3"/>
      <c r="P237" s="3"/>
      <c r="Q237" s="38"/>
      <c r="R237" s="39"/>
      <c r="S237" s="67"/>
      <c r="T237" t="s">
        <v>559</v>
      </c>
      <c r="U237" t="s">
        <v>560</v>
      </c>
      <c r="V237">
        <v>210</v>
      </c>
      <c r="W237">
        <v>0</v>
      </c>
      <c r="X237">
        <v>2948</v>
      </c>
      <c r="Y237" t="s">
        <v>688</v>
      </c>
    </row>
    <row r="238" spans="1:25" x14ac:dyDescent="0.25">
      <c r="A238" s="37" t="s">
        <v>561</v>
      </c>
      <c r="B238" t="s">
        <v>562</v>
      </c>
      <c r="D238" t="s">
        <v>543</v>
      </c>
      <c r="E238" t="s">
        <v>15</v>
      </c>
      <c r="F238" s="70"/>
      <c r="G238" s="3"/>
      <c r="H238" s="3"/>
      <c r="I238" s="38">
        <f t="shared" si="25"/>
        <v>0</v>
      </c>
      <c r="J238" s="70">
        <v>89</v>
      </c>
      <c r="K238" s="3">
        <v>1</v>
      </c>
      <c r="L238" s="3">
        <v>1</v>
      </c>
      <c r="M238" s="38">
        <f t="shared" si="28"/>
        <v>91</v>
      </c>
      <c r="N238" s="70"/>
      <c r="O238" s="3"/>
      <c r="P238" s="3"/>
      <c r="Q238" s="38"/>
      <c r="R238" s="39"/>
      <c r="S238" s="67"/>
      <c r="T238" t="s">
        <v>563</v>
      </c>
      <c r="U238" t="s">
        <v>564</v>
      </c>
      <c r="V238">
        <v>210</v>
      </c>
      <c r="W238">
        <v>0</v>
      </c>
      <c r="X238">
        <v>3220</v>
      </c>
      <c r="Y238" t="s">
        <v>688</v>
      </c>
    </row>
    <row r="239" spans="1:25" x14ac:dyDescent="0.25">
      <c r="A239" s="37" t="s">
        <v>565</v>
      </c>
      <c r="B239" t="s">
        <v>566</v>
      </c>
      <c r="D239" t="s">
        <v>543</v>
      </c>
      <c r="E239" t="s">
        <v>15</v>
      </c>
      <c r="F239" s="70"/>
      <c r="G239" s="3"/>
      <c r="H239" s="3"/>
      <c r="I239" s="38">
        <f t="shared" si="25"/>
        <v>0</v>
      </c>
      <c r="J239" s="70">
        <v>166</v>
      </c>
      <c r="K239" s="3">
        <v>0</v>
      </c>
      <c r="L239" s="3">
        <v>0</v>
      </c>
      <c r="M239" s="38">
        <f t="shared" si="28"/>
        <v>166</v>
      </c>
      <c r="N239" s="70"/>
      <c r="O239" s="3"/>
      <c r="P239" s="3"/>
      <c r="Q239" s="38"/>
      <c r="R239" s="39"/>
      <c r="S239" s="67"/>
      <c r="T239" t="s">
        <v>567</v>
      </c>
      <c r="U239" t="s">
        <v>568</v>
      </c>
      <c r="V239">
        <v>210</v>
      </c>
      <c r="W239">
        <v>0</v>
      </c>
      <c r="X239">
        <v>3223</v>
      </c>
      <c r="Y239" t="s">
        <v>688</v>
      </c>
    </row>
    <row r="240" spans="1:25" x14ac:dyDescent="0.25">
      <c r="A240" s="37" t="s">
        <v>569</v>
      </c>
      <c r="B240" t="s">
        <v>570</v>
      </c>
      <c r="D240" t="s">
        <v>543</v>
      </c>
      <c r="E240" t="s">
        <v>15</v>
      </c>
      <c r="F240" s="70"/>
      <c r="G240" s="3"/>
      <c r="H240" s="3"/>
      <c r="I240" s="38">
        <f t="shared" si="25"/>
        <v>0</v>
      </c>
      <c r="J240" s="70">
        <v>0</v>
      </c>
      <c r="K240" s="3">
        <v>0</v>
      </c>
      <c r="L240" s="3">
        <v>0</v>
      </c>
      <c r="M240" s="38">
        <f t="shared" si="28"/>
        <v>0</v>
      </c>
      <c r="N240" s="70"/>
      <c r="O240" s="3"/>
      <c r="P240" s="3"/>
      <c r="Q240" s="38"/>
      <c r="R240" s="39"/>
      <c r="S240" s="67"/>
      <c r="T240" t="s">
        <v>571</v>
      </c>
      <c r="U240" t="s">
        <v>572</v>
      </c>
      <c r="V240">
        <v>210</v>
      </c>
      <c r="W240">
        <v>0</v>
      </c>
      <c r="X240">
        <v>3221</v>
      </c>
      <c r="Y240" t="s">
        <v>688</v>
      </c>
    </row>
    <row r="241" spans="1:25" x14ac:dyDescent="0.25">
      <c r="A241" s="37" t="s">
        <v>573</v>
      </c>
      <c r="B241" t="s">
        <v>574</v>
      </c>
      <c r="D241" t="s">
        <v>543</v>
      </c>
      <c r="E241" t="s">
        <v>15</v>
      </c>
      <c r="F241" s="70"/>
      <c r="G241" s="3"/>
      <c r="H241" s="3"/>
      <c r="I241" s="38">
        <f t="shared" si="25"/>
        <v>0</v>
      </c>
      <c r="J241" s="70">
        <v>0</v>
      </c>
      <c r="K241" s="3">
        <v>0</v>
      </c>
      <c r="L241" s="3">
        <v>0</v>
      </c>
      <c r="M241" s="38">
        <f t="shared" si="28"/>
        <v>0</v>
      </c>
      <c r="N241" s="70"/>
      <c r="O241" s="3"/>
      <c r="P241" s="3"/>
      <c r="Q241" s="38"/>
      <c r="R241" s="39"/>
      <c r="S241" s="67"/>
      <c r="T241" t="s">
        <v>575</v>
      </c>
      <c r="U241" t="s">
        <v>576</v>
      </c>
      <c r="V241">
        <v>210</v>
      </c>
      <c r="W241">
        <v>0</v>
      </c>
      <c r="X241">
        <v>3222</v>
      </c>
      <c r="Y241" t="s">
        <v>688</v>
      </c>
    </row>
    <row r="242" spans="1:25" x14ac:dyDescent="0.25">
      <c r="A242" s="37" t="s">
        <v>577</v>
      </c>
      <c r="B242" t="s">
        <v>578</v>
      </c>
      <c r="D242" t="s">
        <v>543</v>
      </c>
      <c r="E242" t="s">
        <v>15</v>
      </c>
      <c r="F242" s="70"/>
      <c r="G242" s="3"/>
      <c r="H242" s="3"/>
      <c r="I242" s="38">
        <f t="shared" si="25"/>
        <v>0</v>
      </c>
      <c r="J242" s="70">
        <v>402</v>
      </c>
      <c r="K242" s="3">
        <v>12</v>
      </c>
      <c r="L242" s="3">
        <v>11</v>
      </c>
      <c r="M242" s="38">
        <f t="shared" si="28"/>
        <v>425</v>
      </c>
      <c r="N242" s="70"/>
      <c r="O242" s="3"/>
      <c r="P242" s="3"/>
      <c r="Q242" s="38"/>
      <c r="R242" s="39"/>
      <c r="S242" s="67"/>
      <c r="T242" t="s">
        <v>579</v>
      </c>
      <c r="U242" t="s">
        <v>580</v>
      </c>
      <c r="V242">
        <v>210</v>
      </c>
      <c r="W242">
        <v>0</v>
      </c>
      <c r="X242">
        <v>2935</v>
      </c>
      <c r="Y242" t="s">
        <v>688</v>
      </c>
    </row>
    <row r="243" spans="1:25" x14ac:dyDescent="0.25">
      <c r="A243" s="37" t="s">
        <v>581</v>
      </c>
      <c r="B243" t="s">
        <v>582</v>
      </c>
      <c r="D243" t="s">
        <v>543</v>
      </c>
      <c r="E243" t="s">
        <v>15</v>
      </c>
      <c r="F243" s="70"/>
      <c r="G243" s="3"/>
      <c r="H243" s="3"/>
      <c r="I243" s="38">
        <f t="shared" si="25"/>
        <v>7464</v>
      </c>
      <c r="J243" s="70">
        <v>571</v>
      </c>
      <c r="K243" s="3">
        <v>19</v>
      </c>
      <c r="L243" s="3">
        <v>50</v>
      </c>
      <c r="M243" s="38">
        <f t="shared" si="28"/>
        <v>640</v>
      </c>
      <c r="N243" s="70"/>
      <c r="O243" s="3"/>
      <c r="P243" s="3"/>
      <c r="Q243" s="38">
        <f>SUM(M243:M256)-I243</f>
        <v>-839</v>
      </c>
      <c r="R243" s="39">
        <f t="shared" ref="R243:R258" si="29">Q243/I243</f>
        <v>-0.11240621650589497</v>
      </c>
      <c r="S243" s="67"/>
      <c r="T243" t="s">
        <v>583</v>
      </c>
      <c r="U243" t="s">
        <v>584</v>
      </c>
      <c r="V243">
        <v>210</v>
      </c>
      <c r="W243">
        <v>0</v>
      </c>
      <c r="X243">
        <v>2936</v>
      </c>
      <c r="Y243" t="s">
        <v>688</v>
      </c>
    </row>
    <row r="244" spans="1:25" x14ac:dyDescent="0.25">
      <c r="A244" s="37" t="s">
        <v>585</v>
      </c>
      <c r="B244" t="s">
        <v>586</v>
      </c>
      <c r="D244" t="s">
        <v>543</v>
      </c>
      <c r="E244" t="s">
        <v>15</v>
      </c>
      <c r="F244" s="70"/>
      <c r="G244" s="3"/>
      <c r="H244" s="3"/>
      <c r="I244" s="38">
        <f t="shared" si="25"/>
        <v>0</v>
      </c>
      <c r="J244" s="70">
        <v>198</v>
      </c>
      <c r="K244" s="3">
        <v>5</v>
      </c>
      <c r="L244" s="3">
        <v>3</v>
      </c>
      <c r="M244" s="38">
        <f t="shared" si="28"/>
        <v>206</v>
      </c>
      <c r="N244" s="70"/>
      <c r="O244" s="3"/>
      <c r="P244" s="3"/>
      <c r="Q244" s="38"/>
      <c r="R244" s="39"/>
      <c r="S244" s="67"/>
      <c r="T244" t="s">
        <v>587</v>
      </c>
      <c r="U244" t="s">
        <v>588</v>
      </c>
      <c r="V244">
        <v>210</v>
      </c>
      <c r="W244">
        <v>0</v>
      </c>
      <c r="X244">
        <v>2937</v>
      </c>
      <c r="Y244" t="s">
        <v>688</v>
      </c>
    </row>
    <row r="245" spans="1:25" x14ac:dyDescent="0.25">
      <c r="A245" s="37" t="s">
        <v>589</v>
      </c>
      <c r="B245" t="s">
        <v>590</v>
      </c>
      <c r="D245" t="s">
        <v>543</v>
      </c>
      <c r="E245" t="s">
        <v>15</v>
      </c>
      <c r="F245" s="70"/>
      <c r="G245" s="3"/>
      <c r="H245" s="3"/>
      <c r="I245" s="38">
        <f t="shared" si="25"/>
        <v>0</v>
      </c>
      <c r="J245" s="70">
        <v>692</v>
      </c>
      <c r="K245" s="3">
        <v>9</v>
      </c>
      <c r="L245" s="3">
        <v>6</v>
      </c>
      <c r="M245" s="38">
        <f t="shared" si="28"/>
        <v>707</v>
      </c>
      <c r="N245" s="70"/>
      <c r="O245" s="3"/>
      <c r="P245" s="3"/>
      <c r="Q245" s="38"/>
      <c r="R245" s="39"/>
      <c r="S245" s="67"/>
      <c r="T245" t="s">
        <v>591</v>
      </c>
      <c r="U245" t="s">
        <v>592</v>
      </c>
      <c r="V245">
        <v>210</v>
      </c>
      <c r="W245">
        <v>0</v>
      </c>
      <c r="X245">
        <v>2938</v>
      </c>
      <c r="Y245" t="s">
        <v>688</v>
      </c>
    </row>
    <row r="246" spans="1:25" x14ac:dyDescent="0.25">
      <c r="A246" s="37" t="s">
        <v>593</v>
      </c>
      <c r="B246" t="s">
        <v>594</v>
      </c>
      <c r="D246" t="s">
        <v>543</v>
      </c>
      <c r="E246" t="s">
        <v>15</v>
      </c>
      <c r="F246" s="70"/>
      <c r="G246" s="3"/>
      <c r="H246" s="3"/>
      <c r="I246" s="38">
        <f t="shared" si="25"/>
        <v>0</v>
      </c>
      <c r="J246" s="70">
        <v>610</v>
      </c>
      <c r="K246" s="3">
        <v>3</v>
      </c>
      <c r="L246" s="3">
        <v>3</v>
      </c>
      <c r="M246" s="38">
        <f t="shared" si="28"/>
        <v>616</v>
      </c>
      <c r="N246" s="70"/>
      <c r="O246" s="3"/>
      <c r="P246" s="3"/>
      <c r="Q246" s="38"/>
      <c r="R246" s="39"/>
      <c r="S246" s="67"/>
      <c r="T246" t="s">
        <v>595</v>
      </c>
      <c r="U246" t="s">
        <v>596</v>
      </c>
      <c r="V246">
        <v>210</v>
      </c>
      <c r="W246">
        <v>0</v>
      </c>
      <c r="X246">
        <v>2939</v>
      </c>
      <c r="Y246" t="s">
        <v>688</v>
      </c>
    </row>
    <row r="247" spans="1:25" x14ac:dyDescent="0.25">
      <c r="A247" s="37" t="s">
        <v>597</v>
      </c>
      <c r="B247" t="s">
        <v>598</v>
      </c>
      <c r="D247" t="s">
        <v>543</v>
      </c>
      <c r="E247" t="s">
        <v>15</v>
      </c>
      <c r="F247" s="70"/>
      <c r="G247" s="3"/>
      <c r="H247" s="3"/>
      <c r="I247" s="38">
        <f t="shared" si="25"/>
        <v>0</v>
      </c>
      <c r="J247" s="70">
        <v>436</v>
      </c>
      <c r="K247" s="3">
        <v>2</v>
      </c>
      <c r="L247" s="3">
        <v>1</v>
      </c>
      <c r="M247" s="94">
        <f t="shared" si="28"/>
        <v>439</v>
      </c>
      <c r="N247" s="70"/>
      <c r="O247" s="3"/>
      <c r="P247" s="3"/>
      <c r="Q247" s="38"/>
      <c r="R247" s="39"/>
      <c r="S247" s="67"/>
      <c r="T247" t="s">
        <v>599</v>
      </c>
      <c r="U247" t="s">
        <v>600</v>
      </c>
      <c r="V247">
        <v>210</v>
      </c>
      <c r="W247">
        <v>0</v>
      </c>
      <c r="X247">
        <v>2940</v>
      </c>
      <c r="Y247" t="s">
        <v>688</v>
      </c>
    </row>
    <row r="248" spans="1:25" x14ac:dyDescent="0.25">
      <c r="A248" s="37" t="s">
        <v>601</v>
      </c>
      <c r="B248" t="s">
        <v>602</v>
      </c>
      <c r="D248" t="s">
        <v>543</v>
      </c>
      <c r="E248" t="s">
        <v>15</v>
      </c>
      <c r="F248" s="70"/>
      <c r="G248" s="3"/>
      <c r="H248" s="3"/>
      <c r="I248" s="38">
        <f t="shared" si="25"/>
        <v>0</v>
      </c>
      <c r="J248" s="70">
        <v>908</v>
      </c>
      <c r="K248" s="3">
        <v>15</v>
      </c>
      <c r="L248" s="3">
        <v>11</v>
      </c>
      <c r="M248" s="94">
        <f t="shared" si="28"/>
        <v>934</v>
      </c>
      <c r="N248" s="70"/>
      <c r="O248" s="3"/>
      <c r="P248" s="3"/>
      <c r="Q248" s="38"/>
      <c r="R248" s="39"/>
      <c r="S248" s="67"/>
      <c r="T248" t="s">
        <v>603</v>
      </c>
      <c r="U248" t="s">
        <v>604</v>
      </c>
      <c r="V248">
        <v>210</v>
      </c>
      <c r="W248">
        <v>0</v>
      </c>
      <c r="X248">
        <v>2941</v>
      </c>
      <c r="Y248" t="s">
        <v>688</v>
      </c>
    </row>
    <row r="249" spans="1:25" x14ac:dyDescent="0.25">
      <c r="A249" s="37" t="s">
        <v>605</v>
      </c>
      <c r="B249" t="s">
        <v>606</v>
      </c>
      <c r="D249" t="s">
        <v>543</v>
      </c>
      <c r="E249" t="s">
        <v>15</v>
      </c>
      <c r="F249" s="70"/>
      <c r="G249" s="3"/>
      <c r="H249" s="3"/>
      <c r="I249" s="38">
        <f t="shared" si="25"/>
        <v>0</v>
      </c>
      <c r="J249" s="70">
        <v>140</v>
      </c>
      <c r="K249" s="3">
        <v>2</v>
      </c>
      <c r="L249" s="3">
        <v>1</v>
      </c>
      <c r="M249" s="38">
        <f t="shared" si="28"/>
        <v>143</v>
      </c>
      <c r="N249" s="70"/>
      <c r="O249" s="3"/>
      <c r="P249" s="3"/>
      <c r="Q249" s="38"/>
      <c r="R249" s="39"/>
      <c r="S249" s="67"/>
      <c r="T249" t="s">
        <v>607</v>
      </c>
      <c r="U249" t="s">
        <v>608</v>
      </c>
      <c r="V249">
        <v>210</v>
      </c>
      <c r="W249">
        <v>0</v>
      </c>
      <c r="X249">
        <v>18785</v>
      </c>
      <c r="Y249" t="s">
        <v>688</v>
      </c>
    </row>
    <row r="250" spans="1:25" x14ac:dyDescent="0.25">
      <c r="A250" s="37" t="s">
        <v>609</v>
      </c>
      <c r="B250" t="s">
        <v>610</v>
      </c>
      <c r="D250" t="s">
        <v>543</v>
      </c>
      <c r="E250" t="s">
        <v>15</v>
      </c>
      <c r="F250" s="70"/>
      <c r="G250" s="3"/>
      <c r="H250" s="3"/>
      <c r="I250" s="38">
        <f t="shared" si="25"/>
        <v>0</v>
      </c>
      <c r="J250" s="70">
        <v>317</v>
      </c>
      <c r="K250" s="3">
        <v>4</v>
      </c>
      <c r="L250" s="3">
        <v>2</v>
      </c>
      <c r="M250" s="38">
        <f t="shared" si="28"/>
        <v>323</v>
      </c>
      <c r="N250" s="70"/>
      <c r="O250" s="3"/>
      <c r="P250" s="3"/>
      <c r="Q250" s="38"/>
      <c r="R250" s="39"/>
      <c r="S250" s="67"/>
      <c r="T250" t="s">
        <v>581</v>
      </c>
      <c r="U250" t="s">
        <v>611</v>
      </c>
      <c r="V250">
        <v>220</v>
      </c>
      <c r="W250">
        <v>7464</v>
      </c>
      <c r="X250">
        <v>10746</v>
      </c>
      <c r="Y250" t="s">
        <v>543</v>
      </c>
    </row>
    <row r="251" spans="1:25" x14ac:dyDescent="0.25">
      <c r="A251" s="37" t="s">
        <v>612</v>
      </c>
      <c r="B251" t="s">
        <v>613</v>
      </c>
      <c r="D251" t="s">
        <v>543</v>
      </c>
      <c r="E251" t="s">
        <v>15</v>
      </c>
      <c r="F251" s="70"/>
      <c r="G251" s="3"/>
      <c r="H251" s="3"/>
      <c r="I251" s="38">
        <f t="shared" si="25"/>
        <v>0</v>
      </c>
      <c r="J251" s="70">
        <v>438</v>
      </c>
      <c r="K251" s="3">
        <v>8</v>
      </c>
      <c r="L251" s="3">
        <v>8</v>
      </c>
      <c r="M251" s="38">
        <f t="shared" si="28"/>
        <v>454</v>
      </c>
      <c r="N251" s="70"/>
      <c r="O251" s="3"/>
      <c r="P251" s="3"/>
      <c r="Q251" s="38"/>
      <c r="R251" s="39"/>
      <c r="S251" s="67"/>
      <c r="T251" t="s">
        <v>553</v>
      </c>
      <c r="U251" t="s">
        <v>614</v>
      </c>
      <c r="V251">
        <v>220</v>
      </c>
      <c r="W251">
        <v>0</v>
      </c>
      <c r="X251">
        <v>10732</v>
      </c>
      <c r="Y251" t="s">
        <v>543</v>
      </c>
    </row>
    <row r="252" spans="1:25" x14ac:dyDescent="0.25">
      <c r="A252" s="37" t="s">
        <v>615</v>
      </c>
      <c r="B252" t="s">
        <v>616</v>
      </c>
      <c r="D252" t="s">
        <v>543</v>
      </c>
      <c r="E252" t="s">
        <v>15</v>
      </c>
      <c r="F252" s="70"/>
      <c r="G252" s="3"/>
      <c r="H252" s="3"/>
      <c r="I252" s="38">
        <f t="shared" si="25"/>
        <v>0</v>
      </c>
      <c r="J252" s="70">
        <v>1284</v>
      </c>
      <c r="K252" s="3">
        <v>26</v>
      </c>
      <c r="L252" s="3">
        <v>27</v>
      </c>
      <c r="M252" s="38">
        <f t="shared" si="28"/>
        <v>1337</v>
      </c>
      <c r="N252" s="70"/>
      <c r="O252" s="3"/>
      <c r="P252" s="3"/>
      <c r="Q252" s="38"/>
      <c r="R252" s="39"/>
      <c r="S252" s="67"/>
      <c r="T252" t="s">
        <v>617</v>
      </c>
      <c r="U252" t="s">
        <v>618</v>
      </c>
      <c r="V252">
        <v>220</v>
      </c>
      <c r="W252">
        <v>0</v>
      </c>
      <c r="X252">
        <v>76298</v>
      </c>
      <c r="Y252" t="s">
        <v>543</v>
      </c>
    </row>
    <row r="253" spans="1:25" x14ac:dyDescent="0.25">
      <c r="A253" s="37" t="s">
        <v>617</v>
      </c>
      <c r="B253" t="s">
        <v>619</v>
      </c>
      <c r="D253" t="s">
        <v>543</v>
      </c>
      <c r="E253" t="s">
        <v>15</v>
      </c>
      <c r="F253" s="70"/>
      <c r="G253" s="3"/>
      <c r="H253" s="3"/>
      <c r="I253" s="38">
        <f t="shared" si="25"/>
        <v>0</v>
      </c>
      <c r="J253" s="70">
        <v>229</v>
      </c>
      <c r="K253" s="3">
        <v>15</v>
      </c>
      <c r="L253" s="3">
        <v>27</v>
      </c>
      <c r="M253" s="38">
        <f t="shared" si="28"/>
        <v>271</v>
      </c>
      <c r="N253" s="70"/>
      <c r="O253" s="3"/>
      <c r="P253" s="3"/>
      <c r="Q253" s="38"/>
      <c r="R253" s="39"/>
      <c r="S253" s="67"/>
      <c r="T253" t="s">
        <v>565</v>
      </c>
      <c r="U253" t="s">
        <v>620</v>
      </c>
      <c r="V253">
        <v>220</v>
      </c>
      <c r="W253">
        <v>0</v>
      </c>
      <c r="X253">
        <v>10737</v>
      </c>
      <c r="Y253" t="s">
        <v>543</v>
      </c>
    </row>
    <row r="254" spans="1:25" x14ac:dyDescent="0.25">
      <c r="A254" s="37" t="s">
        <v>621</v>
      </c>
      <c r="B254" t="s">
        <v>622</v>
      </c>
      <c r="D254" t="s">
        <v>543</v>
      </c>
      <c r="E254" t="s">
        <v>15</v>
      </c>
      <c r="F254" s="70"/>
      <c r="G254" s="3"/>
      <c r="H254" s="3"/>
      <c r="I254" s="38">
        <f t="shared" si="25"/>
        <v>0</v>
      </c>
      <c r="J254" s="70">
        <v>280</v>
      </c>
      <c r="K254" s="3">
        <v>11</v>
      </c>
      <c r="L254" s="3">
        <v>4</v>
      </c>
      <c r="M254" s="38">
        <f t="shared" si="28"/>
        <v>295</v>
      </c>
      <c r="N254" s="70"/>
      <c r="O254" s="3"/>
      <c r="P254" s="3"/>
      <c r="Q254" s="38"/>
      <c r="R254" s="39"/>
      <c r="S254" s="67"/>
      <c r="T254" t="s">
        <v>585</v>
      </c>
      <c r="U254" t="s">
        <v>623</v>
      </c>
      <c r="V254">
        <v>220</v>
      </c>
      <c r="W254">
        <v>0</v>
      </c>
      <c r="X254">
        <v>10747</v>
      </c>
      <c r="Y254" t="s">
        <v>543</v>
      </c>
    </row>
    <row r="255" spans="1:25" x14ac:dyDescent="0.25">
      <c r="A255" s="37" t="s">
        <v>624</v>
      </c>
      <c r="B255" t="s">
        <v>625</v>
      </c>
      <c r="D255" t="s">
        <v>543</v>
      </c>
      <c r="E255" t="s">
        <v>15</v>
      </c>
      <c r="F255" s="70"/>
      <c r="G255" s="3"/>
      <c r="H255" s="3"/>
      <c r="I255" s="38">
        <f t="shared" si="25"/>
        <v>0</v>
      </c>
      <c r="J255" s="70">
        <v>165</v>
      </c>
      <c r="K255" s="3">
        <v>6</v>
      </c>
      <c r="L255" s="3">
        <v>5</v>
      </c>
      <c r="M255" s="38">
        <f t="shared" si="28"/>
        <v>176</v>
      </c>
      <c r="N255" s="70"/>
      <c r="O255" s="3"/>
      <c r="P255" s="3"/>
      <c r="Q255" s="38"/>
      <c r="R255" s="39"/>
      <c r="S255" s="67"/>
      <c r="T255" t="s">
        <v>577</v>
      </c>
      <c r="U255" t="s">
        <v>626</v>
      </c>
      <c r="V255">
        <v>220</v>
      </c>
      <c r="W255">
        <v>0</v>
      </c>
      <c r="X255">
        <v>10743</v>
      </c>
      <c r="Y255" t="s">
        <v>543</v>
      </c>
    </row>
    <row r="256" spans="1:25" ht="15.75" thickBot="1" x14ac:dyDescent="0.3">
      <c r="A256" s="41" t="s">
        <v>627</v>
      </c>
      <c r="B256" s="13" t="s">
        <v>628</v>
      </c>
      <c r="C256" s="13"/>
      <c r="D256" s="13" t="s">
        <v>543</v>
      </c>
      <c r="E256" s="13" t="s">
        <v>15</v>
      </c>
      <c r="F256" s="77"/>
      <c r="G256" s="32"/>
      <c r="H256" s="32"/>
      <c r="I256" s="52">
        <f t="shared" si="25"/>
        <v>0</v>
      </c>
      <c r="J256" s="77">
        <v>71</v>
      </c>
      <c r="K256" s="32">
        <v>6</v>
      </c>
      <c r="L256" s="32">
        <v>7</v>
      </c>
      <c r="M256" s="52">
        <f t="shared" si="28"/>
        <v>84</v>
      </c>
      <c r="N256" s="77"/>
      <c r="O256" s="32"/>
      <c r="P256" s="32"/>
      <c r="Q256" s="52"/>
      <c r="R256" s="39"/>
      <c r="S256" s="67"/>
      <c r="T256" t="s">
        <v>561</v>
      </c>
      <c r="U256" t="s">
        <v>629</v>
      </c>
      <c r="V256">
        <v>220</v>
      </c>
      <c r="W256">
        <v>0</v>
      </c>
      <c r="X256">
        <v>10734</v>
      </c>
      <c r="Y256" t="s">
        <v>543</v>
      </c>
    </row>
    <row r="257" spans="1:25" x14ac:dyDescent="0.25">
      <c r="A257" s="36" t="s">
        <v>607</v>
      </c>
      <c r="B257" s="11" t="s">
        <v>630</v>
      </c>
      <c r="C257" s="11"/>
      <c r="D257" s="11" t="s">
        <v>631</v>
      </c>
      <c r="E257" s="11" t="s">
        <v>16</v>
      </c>
      <c r="F257" s="76"/>
      <c r="G257" s="50"/>
      <c r="H257" s="50"/>
      <c r="I257" s="51">
        <f t="shared" si="25"/>
        <v>0</v>
      </c>
      <c r="J257" s="76">
        <v>411</v>
      </c>
      <c r="K257" s="50">
        <v>4</v>
      </c>
      <c r="L257" s="50">
        <v>4</v>
      </c>
      <c r="M257" s="51">
        <f t="shared" ref="M257:M269" si="30">SUM(J257:L257)</f>
        <v>419</v>
      </c>
      <c r="N257" s="76"/>
      <c r="O257" s="50"/>
      <c r="P257" s="50"/>
      <c r="Q257" s="51"/>
      <c r="R257" s="39"/>
      <c r="S257" s="67"/>
      <c r="T257" t="s">
        <v>541</v>
      </c>
      <c r="U257" t="s">
        <v>632</v>
      </c>
      <c r="V257">
        <v>220</v>
      </c>
      <c r="W257">
        <v>0</v>
      </c>
      <c r="X257">
        <v>10729</v>
      </c>
      <c r="Y257" t="s">
        <v>543</v>
      </c>
    </row>
    <row r="258" spans="1:25" x14ac:dyDescent="0.25">
      <c r="A258" s="37" t="s">
        <v>537</v>
      </c>
      <c r="B258" t="s">
        <v>633</v>
      </c>
      <c r="D258" t="s">
        <v>631</v>
      </c>
      <c r="E258" t="s">
        <v>16</v>
      </c>
      <c r="F258" s="70"/>
      <c r="G258" s="3"/>
      <c r="H258" s="3"/>
      <c r="I258" s="38">
        <f t="shared" si="25"/>
        <v>12044</v>
      </c>
      <c r="J258" s="70">
        <v>649</v>
      </c>
      <c r="K258" s="3">
        <v>3</v>
      </c>
      <c r="L258" s="3">
        <v>3</v>
      </c>
      <c r="M258" s="38">
        <f t="shared" si="30"/>
        <v>655</v>
      </c>
      <c r="N258" s="70"/>
      <c r="O258" s="3"/>
      <c r="P258" s="3"/>
      <c r="Q258" s="38">
        <f>SUM(M258:M269)-I258</f>
        <v>2135</v>
      </c>
      <c r="R258" s="39">
        <f t="shared" si="29"/>
        <v>0.17726668880770508</v>
      </c>
      <c r="S258" s="67"/>
      <c r="T258" t="s">
        <v>621</v>
      </c>
      <c r="U258" t="s">
        <v>634</v>
      </c>
      <c r="V258">
        <v>220</v>
      </c>
      <c r="W258">
        <v>0</v>
      </c>
      <c r="X258">
        <v>76299</v>
      </c>
      <c r="Y258" t="s">
        <v>543</v>
      </c>
    </row>
    <row r="259" spans="1:25" x14ac:dyDescent="0.25">
      <c r="A259" s="37" t="s">
        <v>539</v>
      </c>
      <c r="B259" t="s">
        <v>635</v>
      </c>
      <c r="D259" t="s">
        <v>631</v>
      </c>
      <c r="E259" t="s">
        <v>16</v>
      </c>
      <c r="F259" s="70"/>
      <c r="G259" s="3"/>
      <c r="H259" s="3"/>
      <c r="I259" s="38">
        <f t="shared" si="25"/>
        <v>0</v>
      </c>
      <c r="J259" s="70">
        <v>1436</v>
      </c>
      <c r="K259" s="3">
        <v>17</v>
      </c>
      <c r="L259" s="3">
        <v>52</v>
      </c>
      <c r="M259" s="38">
        <f t="shared" si="30"/>
        <v>1505</v>
      </c>
      <c r="N259" s="70"/>
      <c r="O259" s="3"/>
      <c r="P259" s="3"/>
      <c r="Q259" s="38"/>
      <c r="R259" s="39"/>
      <c r="S259" s="67"/>
      <c r="T259" t="s">
        <v>546</v>
      </c>
      <c r="U259" t="s">
        <v>636</v>
      </c>
      <c r="V259">
        <v>220</v>
      </c>
      <c r="W259">
        <v>0</v>
      </c>
      <c r="X259">
        <v>10730</v>
      </c>
      <c r="Y259" t="s">
        <v>543</v>
      </c>
    </row>
    <row r="260" spans="1:25" x14ac:dyDescent="0.25">
      <c r="A260" s="37" t="s">
        <v>579</v>
      </c>
      <c r="B260" t="s">
        <v>637</v>
      </c>
      <c r="D260" t="s">
        <v>631</v>
      </c>
      <c r="E260" t="s">
        <v>16</v>
      </c>
      <c r="F260" s="37"/>
      <c r="H260" s="3"/>
      <c r="I260" s="38">
        <f t="shared" si="25"/>
        <v>0</v>
      </c>
      <c r="J260" s="70">
        <v>369</v>
      </c>
      <c r="K260" s="3">
        <v>14</v>
      </c>
      <c r="L260" s="3">
        <v>4</v>
      </c>
      <c r="M260" s="38">
        <f t="shared" si="30"/>
        <v>387</v>
      </c>
      <c r="N260" s="70"/>
      <c r="O260" s="3"/>
      <c r="P260" s="3"/>
      <c r="Q260" s="38"/>
      <c r="R260" s="39"/>
      <c r="S260" s="67"/>
      <c r="T260" t="s">
        <v>624</v>
      </c>
      <c r="U260" t="s">
        <v>638</v>
      </c>
      <c r="V260">
        <v>220</v>
      </c>
      <c r="W260">
        <v>0</v>
      </c>
      <c r="X260">
        <v>76300</v>
      </c>
      <c r="Y260" t="s">
        <v>543</v>
      </c>
    </row>
    <row r="261" spans="1:25" x14ac:dyDescent="0.25">
      <c r="A261" s="37" t="s">
        <v>583</v>
      </c>
      <c r="B261" t="s">
        <v>639</v>
      </c>
      <c r="D261" t="s">
        <v>631</v>
      </c>
      <c r="E261" t="s">
        <v>16</v>
      </c>
      <c r="F261" s="37"/>
      <c r="H261" s="3"/>
      <c r="I261" s="38">
        <f t="shared" si="25"/>
        <v>0</v>
      </c>
      <c r="J261" s="70">
        <v>1197</v>
      </c>
      <c r="K261" s="3">
        <v>14</v>
      </c>
      <c r="L261" s="3">
        <v>8</v>
      </c>
      <c r="M261" s="38">
        <f t="shared" si="30"/>
        <v>1219</v>
      </c>
      <c r="N261" s="70"/>
      <c r="O261" s="3"/>
      <c r="P261" s="3"/>
      <c r="Q261" s="38"/>
      <c r="R261" s="39"/>
      <c r="S261" s="67"/>
      <c r="T261" t="s">
        <v>627</v>
      </c>
      <c r="U261" t="s">
        <v>640</v>
      </c>
      <c r="V261">
        <v>220</v>
      </c>
      <c r="W261">
        <v>0</v>
      </c>
      <c r="X261">
        <v>76301</v>
      </c>
      <c r="Y261" t="s">
        <v>543</v>
      </c>
    </row>
    <row r="262" spans="1:25" x14ac:dyDescent="0.25">
      <c r="A262" s="37" t="s">
        <v>587</v>
      </c>
      <c r="B262" t="s">
        <v>641</v>
      </c>
      <c r="D262" t="s">
        <v>631</v>
      </c>
      <c r="E262" t="s">
        <v>16</v>
      </c>
      <c r="F262" s="70"/>
      <c r="G262" s="3"/>
      <c r="H262" s="3"/>
      <c r="I262" s="38">
        <f t="shared" si="25"/>
        <v>0</v>
      </c>
      <c r="J262" s="70">
        <v>367</v>
      </c>
      <c r="K262" s="3">
        <v>1</v>
      </c>
      <c r="L262" s="3">
        <v>2</v>
      </c>
      <c r="M262" s="38">
        <f t="shared" si="30"/>
        <v>370</v>
      </c>
      <c r="N262" s="70"/>
      <c r="O262" s="3"/>
      <c r="P262" s="3"/>
      <c r="Q262" s="38"/>
      <c r="R262" s="39"/>
      <c r="S262" s="67"/>
      <c r="T262" t="s">
        <v>557</v>
      </c>
      <c r="U262" t="s">
        <v>642</v>
      </c>
      <c r="V262">
        <v>220</v>
      </c>
      <c r="W262">
        <v>0</v>
      </c>
      <c r="X262">
        <v>10733</v>
      </c>
      <c r="Y262" t="s">
        <v>543</v>
      </c>
    </row>
    <row r="263" spans="1:25" x14ac:dyDescent="0.25">
      <c r="A263" s="37" t="s">
        <v>591</v>
      </c>
      <c r="B263" t="s">
        <v>643</v>
      </c>
      <c r="D263" t="s">
        <v>631</v>
      </c>
      <c r="E263" t="s">
        <v>16</v>
      </c>
      <c r="F263" s="70"/>
      <c r="G263" s="3"/>
      <c r="H263" s="3"/>
      <c r="I263" s="38">
        <f t="shared" si="25"/>
        <v>0</v>
      </c>
      <c r="J263" s="70">
        <v>690</v>
      </c>
      <c r="K263" s="3">
        <v>7</v>
      </c>
      <c r="L263" s="3">
        <v>3</v>
      </c>
      <c r="M263" s="38">
        <f t="shared" si="30"/>
        <v>700</v>
      </c>
      <c r="N263" s="70"/>
      <c r="O263" s="3"/>
      <c r="P263" s="3"/>
      <c r="Q263" s="38"/>
      <c r="R263" s="39"/>
      <c r="S263" s="67"/>
      <c r="T263" t="s">
        <v>549</v>
      </c>
      <c r="U263" t="s">
        <v>644</v>
      </c>
      <c r="V263">
        <v>220</v>
      </c>
      <c r="W263">
        <v>0</v>
      </c>
      <c r="X263">
        <v>10731</v>
      </c>
      <c r="Y263" t="s">
        <v>543</v>
      </c>
    </row>
    <row r="264" spans="1:25" x14ac:dyDescent="0.25">
      <c r="A264" s="37" t="s">
        <v>595</v>
      </c>
      <c r="B264" t="s">
        <v>645</v>
      </c>
      <c r="D264" t="s">
        <v>631</v>
      </c>
      <c r="E264" t="s">
        <v>16</v>
      </c>
      <c r="F264" s="70"/>
      <c r="G264" s="3"/>
      <c r="H264" s="3"/>
      <c r="I264" s="38">
        <f t="shared" si="25"/>
        <v>0</v>
      </c>
      <c r="J264" s="70">
        <v>239</v>
      </c>
      <c r="K264" s="3">
        <v>5</v>
      </c>
      <c r="L264" s="3">
        <v>3</v>
      </c>
      <c r="M264" s="38">
        <f t="shared" si="30"/>
        <v>247</v>
      </c>
      <c r="N264" s="70"/>
      <c r="O264" s="3"/>
      <c r="P264" s="3"/>
      <c r="Q264" s="38"/>
      <c r="R264" s="39"/>
      <c r="S264" s="67"/>
      <c r="T264" t="s">
        <v>646</v>
      </c>
      <c r="U264" t="s">
        <v>647</v>
      </c>
      <c r="V264">
        <v>220</v>
      </c>
      <c r="W264">
        <v>0</v>
      </c>
      <c r="X264">
        <v>76156</v>
      </c>
      <c r="Y264" t="s">
        <v>543</v>
      </c>
    </row>
    <row r="265" spans="1:25" x14ac:dyDescent="0.25">
      <c r="A265" s="37" t="s">
        <v>599</v>
      </c>
      <c r="B265" t="s">
        <v>648</v>
      </c>
      <c r="D265" t="s">
        <v>631</v>
      </c>
      <c r="E265" t="s">
        <v>16</v>
      </c>
      <c r="F265" s="70"/>
      <c r="G265" s="3"/>
      <c r="H265" s="3"/>
      <c r="I265" s="38">
        <f t="shared" ref="I265:I269" si="31">VLOOKUP(A265,$T$5:$W$279,4,0)</f>
        <v>0</v>
      </c>
      <c r="J265" s="70">
        <v>829</v>
      </c>
      <c r="K265" s="3">
        <v>5</v>
      </c>
      <c r="L265" s="3">
        <v>7</v>
      </c>
      <c r="M265" s="38">
        <f t="shared" si="30"/>
        <v>841</v>
      </c>
      <c r="N265" s="70"/>
      <c r="O265" s="3"/>
      <c r="P265" s="3"/>
      <c r="Q265" s="38"/>
      <c r="R265" s="39"/>
      <c r="S265" s="67"/>
      <c r="T265" t="s">
        <v>649</v>
      </c>
      <c r="U265" t="s">
        <v>650</v>
      </c>
      <c r="V265">
        <v>220</v>
      </c>
      <c r="W265">
        <v>0</v>
      </c>
      <c r="X265">
        <v>10738</v>
      </c>
      <c r="Y265" t="s">
        <v>543</v>
      </c>
    </row>
    <row r="266" spans="1:25" x14ac:dyDescent="0.25">
      <c r="A266" s="37" t="s">
        <v>603</v>
      </c>
      <c r="B266" t="s">
        <v>651</v>
      </c>
      <c r="D266" t="s">
        <v>631</v>
      </c>
      <c r="E266" t="s">
        <v>16</v>
      </c>
      <c r="F266" s="70"/>
      <c r="G266" s="3"/>
      <c r="H266" s="3"/>
      <c r="I266" s="38">
        <f t="shared" si="31"/>
        <v>0</v>
      </c>
      <c r="J266" s="70">
        <v>1369</v>
      </c>
      <c r="K266" s="3">
        <v>30</v>
      </c>
      <c r="L266" s="3">
        <v>14</v>
      </c>
      <c r="M266" s="38">
        <f t="shared" si="30"/>
        <v>1413</v>
      </c>
      <c r="N266" s="70"/>
      <c r="O266" s="3"/>
      <c r="P266" s="3"/>
      <c r="Q266" s="38"/>
      <c r="R266" s="39"/>
      <c r="S266" s="67"/>
      <c r="T266" t="s">
        <v>615</v>
      </c>
      <c r="U266" t="s">
        <v>652</v>
      </c>
      <c r="V266">
        <v>220</v>
      </c>
      <c r="W266">
        <v>0</v>
      </c>
      <c r="X266">
        <v>10755</v>
      </c>
      <c r="Y266" t="s">
        <v>543</v>
      </c>
    </row>
    <row r="267" spans="1:25" x14ac:dyDescent="0.25">
      <c r="A267" s="37" t="s">
        <v>551</v>
      </c>
      <c r="B267" t="s">
        <v>653</v>
      </c>
      <c r="D267" t="s">
        <v>631</v>
      </c>
      <c r="E267" t="s">
        <v>16</v>
      </c>
      <c r="F267" s="70"/>
      <c r="G267" s="3"/>
      <c r="H267" s="3"/>
      <c r="I267" s="38">
        <f t="shared" si="31"/>
        <v>0</v>
      </c>
      <c r="J267" s="70">
        <v>1274</v>
      </c>
      <c r="K267" s="3">
        <v>35</v>
      </c>
      <c r="L267" s="3">
        <v>32</v>
      </c>
      <c r="M267" s="38">
        <f t="shared" si="30"/>
        <v>1341</v>
      </c>
      <c r="N267" s="70"/>
      <c r="O267" s="3"/>
      <c r="P267" s="3"/>
      <c r="Q267" s="38"/>
      <c r="R267" s="39"/>
      <c r="S267" s="67"/>
      <c r="T267" t="s">
        <v>569</v>
      </c>
      <c r="U267" t="s">
        <v>654</v>
      </c>
      <c r="V267">
        <v>220</v>
      </c>
      <c r="W267">
        <v>0</v>
      </c>
      <c r="X267">
        <v>10739</v>
      </c>
      <c r="Y267" t="s">
        <v>543</v>
      </c>
    </row>
    <row r="268" spans="1:25" x14ac:dyDescent="0.25">
      <c r="A268" s="37" t="s">
        <v>555</v>
      </c>
      <c r="B268" t="s">
        <v>655</v>
      </c>
      <c r="D268" t="s">
        <v>631</v>
      </c>
      <c r="E268" t="s">
        <v>16</v>
      </c>
      <c r="F268" s="70"/>
      <c r="G268" s="3"/>
      <c r="H268" s="3"/>
      <c r="I268" s="38">
        <f t="shared" si="31"/>
        <v>0</v>
      </c>
      <c r="J268" s="70">
        <v>24</v>
      </c>
      <c r="K268" s="3">
        <v>2</v>
      </c>
      <c r="L268" s="3">
        <v>0</v>
      </c>
      <c r="M268" s="38">
        <f t="shared" si="30"/>
        <v>26</v>
      </c>
      <c r="N268" s="70"/>
      <c r="O268" s="3"/>
      <c r="P268" s="3"/>
      <c r="Q268" s="38"/>
      <c r="R268" s="39"/>
      <c r="S268" s="67"/>
      <c r="T268" t="s">
        <v>573</v>
      </c>
      <c r="U268" t="s">
        <v>656</v>
      </c>
      <c r="V268">
        <v>220</v>
      </c>
      <c r="W268">
        <v>0</v>
      </c>
      <c r="X268">
        <v>10740</v>
      </c>
      <c r="Y268" t="s">
        <v>543</v>
      </c>
    </row>
    <row r="269" spans="1:25" ht="15.75" thickBot="1" x14ac:dyDescent="0.3">
      <c r="A269" s="41" t="s">
        <v>544</v>
      </c>
      <c r="B269" s="13" t="s">
        <v>657</v>
      </c>
      <c r="C269" s="13"/>
      <c r="D269" s="13" t="s">
        <v>631</v>
      </c>
      <c r="E269" s="13" t="s">
        <v>16</v>
      </c>
      <c r="F269" s="77"/>
      <c r="G269" s="32"/>
      <c r="H269" s="32"/>
      <c r="I269" s="52">
        <f t="shared" si="31"/>
        <v>0</v>
      </c>
      <c r="J269" s="77">
        <v>5180</v>
      </c>
      <c r="K269" s="32">
        <v>99</v>
      </c>
      <c r="L269" s="32">
        <v>196</v>
      </c>
      <c r="M269" s="52">
        <f t="shared" si="30"/>
        <v>5475</v>
      </c>
      <c r="N269" s="77"/>
      <c r="O269" s="32"/>
      <c r="P269" s="32"/>
      <c r="Q269" s="52"/>
      <c r="R269" s="39"/>
      <c r="S269" s="67"/>
      <c r="T269" t="s">
        <v>589</v>
      </c>
      <c r="U269" t="s">
        <v>658</v>
      </c>
      <c r="V269">
        <v>220</v>
      </c>
      <c r="W269">
        <v>0</v>
      </c>
      <c r="X269">
        <v>10748</v>
      </c>
      <c r="Y269" t="s">
        <v>543</v>
      </c>
    </row>
    <row r="270" spans="1:25" ht="15.75" thickBot="1" x14ac:dyDescent="0.3">
      <c r="A270" s="24" t="s">
        <v>3</v>
      </c>
      <c r="B270" s="25"/>
      <c r="C270" s="26"/>
      <c r="D270" s="26"/>
      <c r="E270" s="26"/>
      <c r="F270" s="75">
        <f t="shared" ref="F270:H270" si="32">SUMIF(F8:F232,"&gt;0",F8:F232)</f>
        <v>0</v>
      </c>
      <c r="G270" s="21">
        <f t="shared" si="32"/>
        <v>0</v>
      </c>
      <c r="H270" s="21">
        <f t="shared" si="32"/>
        <v>0</v>
      </c>
      <c r="I270" s="93">
        <f>SUMIF(I8:I269,"&gt;0",I8:I269)</f>
        <v>887330</v>
      </c>
      <c r="J270" s="75">
        <f>SUMIF(J8:J269,"&gt;0",J8:J269)</f>
        <v>997896</v>
      </c>
      <c r="K270" s="21">
        <f>SUMIF(K8:K269,"&gt;0",K8:K269)</f>
        <v>54727</v>
      </c>
      <c r="L270" s="21">
        <f>SUMIF(L8:L269,"&gt;0",L8:L269)</f>
        <v>170739</v>
      </c>
      <c r="M270" s="93">
        <f>SUMIF(M8:M269,"&gt;0",M8:M269)</f>
        <v>1223362</v>
      </c>
      <c r="N270" s="75"/>
      <c r="O270" s="21"/>
      <c r="P270" s="21"/>
      <c r="Q270" s="93">
        <f t="shared" ref="Q270" si="33">M270-I270</f>
        <v>336032</v>
      </c>
      <c r="R270" s="40">
        <f>Q270/I270</f>
        <v>0.37870014537996011</v>
      </c>
      <c r="S270" s="68"/>
      <c r="T270" t="s">
        <v>593</v>
      </c>
      <c r="U270" t="s">
        <v>659</v>
      </c>
      <c r="V270">
        <v>220</v>
      </c>
      <c r="W270">
        <v>0</v>
      </c>
      <c r="X270">
        <v>10749</v>
      </c>
      <c r="Y270" t="s">
        <v>543</v>
      </c>
    </row>
    <row r="271" spans="1:25" ht="15.75" thickBot="1" x14ac:dyDescent="0.3">
      <c r="A271" s="6"/>
      <c r="B271" s="7"/>
      <c r="C271" s="7"/>
      <c r="D271" s="7"/>
      <c r="E271" s="7"/>
      <c r="F271" s="30"/>
      <c r="G271" s="30"/>
      <c r="H271" s="30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68"/>
      <c r="T271" t="s">
        <v>597</v>
      </c>
      <c r="U271" t="s">
        <v>660</v>
      </c>
      <c r="V271">
        <v>220</v>
      </c>
      <c r="W271">
        <v>0</v>
      </c>
      <c r="X271">
        <v>10750</v>
      </c>
      <c r="Y271" t="s">
        <v>543</v>
      </c>
    </row>
    <row r="272" spans="1:25" ht="30" customHeight="1" thickBot="1" x14ac:dyDescent="0.3">
      <c r="B272" s="6" t="s">
        <v>661</v>
      </c>
      <c r="C272" s="7"/>
      <c r="D272" s="87"/>
      <c r="E272" s="82"/>
      <c r="F272" s="97" t="s">
        <v>0</v>
      </c>
      <c r="G272" s="97"/>
      <c r="H272" s="97"/>
      <c r="I272" s="97"/>
      <c r="J272" s="99" t="s">
        <v>691</v>
      </c>
      <c r="K272" s="100"/>
      <c r="L272" s="100"/>
      <c r="M272" s="101"/>
      <c r="N272" s="97" t="s">
        <v>1</v>
      </c>
      <c r="O272" s="97"/>
      <c r="P272" s="97"/>
      <c r="Q272" s="98"/>
      <c r="R272" s="16" t="s">
        <v>32</v>
      </c>
      <c r="S272" s="66"/>
      <c r="T272" t="s">
        <v>601</v>
      </c>
      <c r="U272" t="s">
        <v>662</v>
      </c>
      <c r="V272">
        <v>220</v>
      </c>
      <c r="W272">
        <v>0</v>
      </c>
      <c r="X272">
        <v>10751</v>
      </c>
      <c r="Y272" t="s">
        <v>543</v>
      </c>
    </row>
    <row r="273" spans="1:25" ht="15.75" thickBot="1" x14ac:dyDescent="0.3">
      <c r="B273" s="7"/>
      <c r="C273" s="6"/>
      <c r="D273" s="69" t="s">
        <v>663</v>
      </c>
      <c r="E273" s="83" t="s">
        <v>41</v>
      </c>
      <c r="F273" s="63" t="s">
        <v>42</v>
      </c>
      <c r="G273" s="63" t="s">
        <v>43</v>
      </c>
      <c r="H273" s="63" t="s">
        <v>44</v>
      </c>
      <c r="I273" s="63" t="s">
        <v>45</v>
      </c>
      <c r="J273" s="62" t="s">
        <v>42</v>
      </c>
      <c r="K273" s="63" t="s">
        <v>43</v>
      </c>
      <c r="L273" s="63" t="s">
        <v>44</v>
      </c>
      <c r="M273" s="64" t="s">
        <v>45</v>
      </c>
      <c r="N273" s="63" t="s">
        <v>42</v>
      </c>
      <c r="O273" s="63" t="s">
        <v>43</v>
      </c>
      <c r="P273" s="63" t="s">
        <v>44</v>
      </c>
      <c r="Q273" s="64" t="s">
        <v>45</v>
      </c>
      <c r="R273" s="16" t="s">
        <v>46</v>
      </c>
      <c r="S273" s="66"/>
      <c r="T273" t="s">
        <v>605</v>
      </c>
      <c r="U273" t="s">
        <v>664</v>
      </c>
      <c r="V273">
        <v>220</v>
      </c>
      <c r="W273">
        <v>0</v>
      </c>
      <c r="X273">
        <v>10752</v>
      </c>
      <c r="Y273" t="s">
        <v>543</v>
      </c>
    </row>
    <row r="274" spans="1:25" x14ac:dyDescent="0.25">
      <c r="A274" s="2"/>
      <c r="C274" s="9"/>
      <c r="D274" s="89">
        <f t="shared" ref="D274:D283" si="34">COUNTIF($E$8:$E$232,E274)</f>
        <v>3</v>
      </c>
      <c r="E274" s="73" t="s">
        <v>6</v>
      </c>
      <c r="F274" s="3"/>
      <c r="G274" s="3"/>
      <c r="H274" s="3"/>
      <c r="I274" s="3">
        <f t="shared" ref="I274:M285" si="35">SUMIFS(I$6:I$270,$E$6:$E$270,$E274,I$6:I$270,"&gt;0")</f>
        <v>296977</v>
      </c>
      <c r="J274" s="70">
        <f t="shared" si="35"/>
        <v>293245</v>
      </c>
      <c r="K274" s="3">
        <f t="shared" si="35"/>
        <v>23220</v>
      </c>
      <c r="L274" s="3">
        <f t="shared" si="35"/>
        <v>53874</v>
      </c>
      <c r="M274" s="38">
        <f t="shared" si="35"/>
        <v>370339</v>
      </c>
      <c r="N274" s="3"/>
      <c r="O274" s="3"/>
      <c r="P274" s="3"/>
      <c r="Q274" s="38">
        <f t="shared" ref="Q274" si="36">M274-I274</f>
        <v>73362</v>
      </c>
      <c r="R274" s="34">
        <f t="shared" ref="R274" si="37">Q274/I274</f>
        <v>0.24702923121992612</v>
      </c>
      <c r="S274" s="67"/>
      <c r="T274" t="s">
        <v>609</v>
      </c>
      <c r="U274" t="s">
        <v>665</v>
      </c>
      <c r="V274">
        <v>220</v>
      </c>
      <c r="W274">
        <v>0</v>
      </c>
      <c r="X274">
        <v>10753</v>
      </c>
      <c r="Y274" t="s">
        <v>543</v>
      </c>
    </row>
    <row r="275" spans="1:25" x14ac:dyDescent="0.25">
      <c r="A275" s="2"/>
      <c r="D275" s="89">
        <f t="shared" si="34"/>
        <v>5</v>
      </c>
      <c r="E275" s="73" t="s">
        <v>7</v>
      </c>
      <c r="F275" s="3"/>
      <c r="G275" s="3"/>
      <c r="H275" s="3"/>
      <c r="I275" s="3">
        <f t="shared" si="35"/>
        <v>117899</v>
      </c>
      <c r="J275" s="70">
        <f t="shared" si="35"/>
        <v>120275</v>
      </c>
      <c r="K275" s="3">
        <f t="shared" si="35"/>
        <v>7360</v>
      </c>
      <c r="L275" s="3">
        <f t="shared" si="35"/>
        <v>12965</v>
      </c>
      <c r="M275" s="38">
        <f t="shared" si="35"/>
        <v>140600</v>
      </c>
      <c r="N275" s="3"/>
      <c r="O275" s="3"/>
      <c r="P275" s="3"/>
      <c r="Q275" s="38">
        <f t="shared" ref="Q275:Q281" si="38">M275-I275</f>
        <v>22701</v>
      </c>
      <c r="R275" s="14">
        <f t="shared" ref="R275:R286" si="39">Q275/I275</f>
        <v>0.19254616239323488</v>
      </c>
      <c r="S275" s="67"/>
      <c r="T275" t="s">
        <v>612</v>
      </c>
      <c r="U275" t="s">
        <v>666</v>
      </c>
      <c r="V275">
        <v>220</v>
      </c>
      <c r="W275">
        <v>0</v>
      </c>
      <c r="X275">
        <v>10754</v>
      </c>
      <c r="Y275" t="s">
        <v>543</v>
      </c>
    </row>
    <row r="276" spans="1:25" x14ac:dyDescent="0.25">
      <c r="A276" s="2"/>
      <c r="D276" s="89">
        <f t="shared" si="34"/>
        <v>14</v>
      </c>
      <c r="E276" s="73" t="s">
        <v>8</v>
      </c>
      <c r="F276" s="3"/>
      <c r="G276" s="3"/>
      <c r="H276" s="3"/>
      <c r="I276" s="3">
        <f t="shared" si="35"/>
        <v>111755</v>
      </c>
      <c r="J276" s="70">
        <f t="shared" si="35"/>
        <v>73964</v>
      </c>
      <c r="K276" s="3">
        <f t="shared" si="35"/>
        <v>18801</v>
      </c>
      <c r="L276" s="3">
        <f t="shared" si="35"/>
        <v>86932</v>
      </c>
      <c r="M276" s="38">
        <f t="shared" si="35"/>
        <v>179697</v>
      </c>
      <c r="N276" s="3"/>
      <c r="O276" s="3"/>
      <c r="P276" s="3"/>
      <c r="Q276" s="38">
        <f t="shared" si="38"/>
        <v>67942</v>
      </c>
      <c r="R276" s="14">
        <f t="shared" si="39"/>
        <v>0.60795490134669594</v>
      </c>
      <c r="S276" s="67"/>
    </row>
    <row r="277" spans="1:25" x14ac:dyDescent="0.25">
      <c r="A277" s="2"/>
      <c r="D277" s="89">
        <f t="shared" si="34"/>
        <v>5</v>
      </c>
      <c r="E277" s="73" t="s">
        <v>9</v>
      </c>
      <c r="F277" s="3"/>
      <c r="G277" s="3"/>
      <c r="H277" s="3"/>
      <c r="I277" s="3">
        <f t="shared" si="35"/>
        <v>5410</v>
      </c>
      <c r="J277" s="70">
        <f t="shared" si="35"/>
        <v>1434</v>
      </c>
      <c r="K277" s="3">
        <f t="shared" si="35"/>
        <v>198</v>
      </c>
      <c r="L277" s="3">
        <f t="shared" si="35"/>
        <v>1890</v>
      </c>
      <c r="M277" s="38">
        <f t="shared" si="35"/>
        <v>3522</v>
      </c>
      <c r="N277" s="3"/>
      <c r="O277" s="3"/>
      <c r="P277" s="3"/>
      <c r="Q277" s="38">
        <f t="shared" si="38"/>
        <v>-1888</v>
      </c>
      <c r="R277" s="14">
        <f t="shared" si="39"/>
        <v>-0.34898336414048059</v>
      </c>
      <c r="S277" s="67"/>
    </row>
    <row r="278" spans="1:25" x14ac:dyDescent="0.25">
      <c r="A278" s="2"/>
      <c r="D278" s="89">
        <f t="shared" si="34"/>
        <v>6</v>
      </c>
      <c r="E278" s="73" t="s">
        <v>10</v>
      </c>
      <c r="F278" s="3"/>
      <c r="G278" s="3"/>
      <c r="H278" s="3"/>
      <c r="I278" s="3">
        <f t="shared" si="35"/>
        <v>33236</v>
      </c>
      <c r="J278" s="70">
        <f t="shared" si="35"/>
        <v>45817</v>
      </c>
      <c r="K278" s="3">
        <f t="shared" si="35"/>
        <v>1007</v>
      </c>
      <c r="L278" s="3">
        <f t="shared" si="35"/>
        <v>2799</v>
      </c>
      <c r="M278" s="38">
        <f t="shared" si="35"/>
        <v>49623</v>
      </c>
      <c r="N278" s="3"/>
      <c r="O278" s="3"/>
      <c r="P278" s="3"/>
      <c r="Q278" s="38">
        <f t="shared" si="38"/>
        <v>16387</v>
      </c>
      <c r="R278" s="14">
        <f t="shared" si="39"/>
        <v>0.49304970513900592</v>
      </c>
      <c r="S278" s="67"/>
    </row>
    <row r="279" spans="1:25" x14ac:dyDescent="0.25">
      <c r="A279" s="2"/>
      <c r="D279" s="89">
        <f t="shared" si="34"/>
        <v>130</v>
      </c>
      <c r="E279" s="73" t="s">
        <v>11</v>
      </c>
      <c r="F279" s="3"/>
      <c r="G279" s="3"/>
      <c r="H279" s="3"/>
      <c r="I279" s="3">
        <f t="shared" si="35"/>
        <v>174323</v>
      </c>
      <c r="J279" s="70">
        <f t="shared" si="35"/>
        <v>252832</v>
      </c>
      <c r="K279" s="3">
        <f t="shared" si="35"/>
        <v>2548</v>
      </c>
      <c r="L279" s="3">
        <f t="shared" si="35"/>
        <v>8536</v>
      </c>
      <c r="M279" s="38">
        <f t="shared" si="35"/>
        <v>263916</v>
      </c>
      <c r="N279" s="3"/>
      <c r="O279" s="3"/>
      <c r="P279" s="3"/>
      <c r="Q279" s="38">
        <f t="shared" ref="Q279" si="40">M279-I279</f>
        <v>89593</v>
      </c>
      <c r="R279" s="14">
        <f t="shared" si="39"/>
        <v>0.51394824549829909</v>
      </c>
      <c r="S279" s="67"/>
    </row>
    <row r="280" spans="1:25" x14ac:dyDescent="0.25">
      <c r="A280" s="6"/>
      <c r="B280" s="7"/>
      <c r="D280" s="89">
        <f t="shared" si="34"/>
        <v>15</v>
      </c>
      <c r="E280" s="73" t="s">
        <v>12</v>
      </c>
      <c r="F280" s="3"/>
      <c r="G280" s="3"/>
      <c r="H280" s="3"/>
      <c r="I280" s="3">
        <f t="shared" si="35"/>
        <v>118101</v>
      </c>
      <c r="J280" s="70">
        <f t="shared" si="35"/>
        <v>178792</v>
      </c>
      <c r="K280" s="3">
        <f t="shared" si="35"/>
        <v>956</v>
      </c>
      <c r="L280" s="3">
        <f t="shared" si="35"/>
        <v>2576</v>
      </c>
      <c r="M280" s="38">
        <f t="shared" si="35"/>
        <v>182324</v>
      </c>
      <c r="N280" s="3"/>
      <c r="O280" s="3"/>
      <c r="P280" s="3"/>
      <c r="Q280" s="38">
        <f t="shared" si="38"/>
        <v>64223</v>
      </c>
      <c r="R280" s="14">
        <f t="shared" si="39"/>
        <v>0.54379725827893077</v>
      </c>
      <c r="S280" s="68"/>
    </row>
    <row r="281" spans="1:25" x14ac:dyDescent="0.25">
      <c r="A281" s="6"/>
      <c r="B281" s="7"/>
      <c r="D281" s="89">
        <f t="shared" si="34"/>
        <v>7</v>
      </c>
      <c r="E281" s="73" t="s">
        <v>669</v>
      </c>
      <c r="F281" s="3"/>
      <c r="G281" s="3"/>
      <c r="H281" s="3"/>
      <c r="I281" s="3">
        <f t="shared" si="35"/>
        <v>7018</v>
      </c>
      <c r="J281" s="70">
        <f t="shared" si="35"/>
        <v>6313</v>
      </c>
      <c r="K281" s="3">
        <f t="shared" si="35"/>
        <v>50</v>
      </c>
      <c r="L281" s="3">
        <f t="shared" si="35"/>
        <v>592</v>
      </c>
      <c r="M281" s="38">
        <f t="shared" si="35"/>
        <v>6955</v>
      </c>
      <c r="N281" s="3"/>
      <c r="O281" s="3"/>
      <c r="P281" s="3"/>
      <c r="Q281" s="38">
        <f t="shared" si="38"/>
        <v>-63</v>
      </c>
      <c r="R281" s="14">
        <f t="shared" si="39"/>
        <v>-8.9769165004274717E-3</v>
      </c>
      <c r="S281" s="68"/>
    </row>
    <row r="282" spans="1:25" x14ac:dyDescent="0.25">
      <c r="A282" s="6"/>
      <c r="B282" s="7"/>
      <c r="D282" s="89">
        <f t="shared" si="34"/>
        <v>21</v>
      </c>
      <c r="E282" s="73" t="s">
        <v>13</v>
      </c>
      <c r="F282" s="3"/>
      <c r="G282" s="3"/>
      <c r="H282" s="3"/>
      <c r="I282" s="3">
        <f t="shared" si="35"/>
        <v>633</v>
      </c>
      <c r="J282" s="70">
        <f t="shared" si="35"/>
        <v>623</v>
      </c>
      <c r="K282" s="3">
        <f t="shared" si="35"/>
        <v>10</v>
      </c>
      <c r="L282" s="3">
        <f t="shared" si="35"/>
        <v>7</v>
      </c>
      <c r="M282" s="38">
        <f t="shared" si="35"/>
        <v>640</v>
      </c>
      <c r="N282" s="3"/>
      <c r="O282" s="3"/>
      <c r="P282" s="3"/>
      <c r="Q282" s="38">
        <f t="shared" ref="Q282:Q285" si="41">M282-I282</f>
        <v>7</v>
      </c>
      <c r="R282" s="14">
        <f t="shared" ref="R282:R285" si="42">Q282/I282</f>
        <v>1.1058451816745656E-2</v>
      </c>
      <c r="S282" s="68"/>
    </row>
    <row r="283" spans="1:25" x14ac:dyDescent="0.25">
      <c r="A283" s="6"/>
      <c r="B283" s="7"/>
      <c r="D283" s="89">
        <f t="shared" si="34"/>
        <v>19</v>
      </c>
      <c r="E283" s="73" t="s">
        <v>14</v>
      </c>
      <c r="F283" s="3"/>
      <c r="G283" s="3"/>
      <c r="H283" s="3"/>
      <c r="I283" s="3">
        <f t="shared" si="35"/>
        <v>2470</v>
      </c>
      <c r="J283" s="70">
        <f t="shared" si="35"/>
        <v>2616</v>
      </c>
      <c r="K283" s="3">
        <f t="shared" si="35"/>
        <v>166</v>
      </c>
      <c r="L283" s="3">
        <f t="shared" si="35"/>
        <v>51</v>
      </c>
      <c r="M283" s="38">
        <f t="shared" si="35"/>
        <v>2833</v>
      </c>
      <c r="N283" s="3"/>
      <c r="O283" s="3"/>
      <c r="P283" s="3"/>
      <c r="Q283" s="38">
        <f t="shared" si="41"/>
        <v>363</v>
      </c>
      <c r="R283" s="14">
        <f t="shared" si="42"/>
        <v>0.14696356275303643</v>
      </c>
      <c r="S283" s="68"/>
    </row>
    <row r="284" spans="1:25" x14ac:dyDescent="0.25">
      <c r="A284" s="6"/>
      <c r="B284" s="7"/>
      <c r="D284" s="89">
        <f>COUNTIF($E$8:$E$269,E284)</f>
        <v>24</v>
      </c>
      <c r="E284" s="73" t="s">
        <v>15</v>
      </c>
      <c r="F284" s="3"/>
      <c r="G284" s="3"/>
      <c r="H284" s="3"/>
      <c r="I284" s="3">
        <f t="shared" si="35"/>
        <v>7464</v>
      </c>
      <c r="J284" s="70">
        <f t="shared" si="35"/>
        <v>7951</v>
      </c>
      <c r="K284" s="3">
        <f t="shared" si="35"/>
        <v>175</v>
      </c>
      <c r="L284" s="3">
        <f t="shared" si="35"/>
        <v>189</v>
      </c>
      <c r="M284" s="38">
        <f t="shared" si="35"/>
        <v>8315</v>
      </c>
      <c r="N284" s="3"/>
      <c r="O284" s="3"/>
      <c r="P284" s="3"/>
      <c r="Q284" s="38">
        <f t="shared" si="41"/>
        <v>851</v>
      </c>
      <c r="R284" s="14">
        <f t="shared" si="42"/>
        <v>0.11401393354769561</v>
      </c>
      <c r="S284" s="68"/>
    </row>
    <row r="285" spans="1:25" ht="15.75" thickBot="1" x14ac:dyDescent="0.3">
      <c r="A285" s="6"/>
      <c r="B285" s="7"/>
      <c r="C285" s="5"/>
      <c r="D285" s="90">
        <f>COUNTIF($E$8:$E$269,E285)</f>
        <v>13</v>
      </c>
      <c r="E285" s="91" t="s">
        <v>16</v>
      </c>
      <c r="F285" s="32"/>
      <c r="G285" s="32"/>
      <c r="H285" s="32"/>
      <c r="I285" s="32">
        <f t="shared" si="35"/>
        <v>12044</v>
      </c>
      <c r="J285" s="77">
        <f t="shared" si="35"/>
        <v>14034</v>
      </c>
      <c r="K285" s="32">
        <f t="shared" si="35"/>
        <v>236</v>
      </c>
      <c r="L285" s="32">
        <f t="shared" si="35"/>
        <v>328</v>
      </c>
      <c r="M285" s="52">
        <f t="shared" si="35"/>
        <v>14598</v>
      </c>
      <c r="N285" s="32"/>
      <c r="O285" s="32"/>
      <c r="P285" s="32"/>
      <c r="Q285" s="52">
        <f t="shared" si="41"/>
        <v>2554</v>
      </c>
      <c r="R285" s="15">
        <f t="shared" si="42"/>
        <v>0.21205579541680505</v>
      </c>
      <c r="S285" s="68"/>
    </row>
    <row r="286" spans="1:25" ht="15.75" thickBot="1" x14ac:dyDescent="0.3">
      <c r="A286" s="6"/>
      <c r="B286" s="7"/>
      <c r="C286" s="7"/>
      <c r="D286" s="84"/>
      <c r="E286" s="74" t="s">
        <v>3</v>
      </c>
      <c r="F286" s="72"/>
      <c r="G286" s="72"/>
      <c r="H286" s="72"/>
      <c r="I286" s="72">
        <f>SUM(I274:I285)</f>
        <v>887330</v>
      </c>
      <c r="J286" s="71">
        <f>SUM(J274:J285)</f>
        <v>997896</v>
      </c>
      <c r="K286" s="72">
        <f>SUM(K274:K285)</f>
        <v>54727</v>
      </c>
      <c r="L286" s="72">
        <f>SUM(L274:L285)</f>
        <v>170739</v>
      </c>
      <c r="M286" s="88">
        <f>SUM(M274:M285)</f>
        <v>1223362</v>
      </c>
      <c r="N286" s="72"/>
      <c r="O286" s="72"/>
      <c r="P286" s="72"/>
      <c r="Q286" s="88">
        <f>SUM(Q274:Q285)</f>
        <v>336032</v>
      </c>
      <c r="R286" s="30">
        <f t="shared" si="39"/>
        <v>0.37870014537996011</v>
      </c>
      <c r="S286" s="68"/>
    </row>
    <row r="287" spans="1:25" ht="15.75" thickBot="1" x14ac:dyDescent="0.3">
      <c r="B287" s="6" t="s">
        <v>667</v>
      </c>
      <c r="C287" s="7"/>
      <c r="E287" s="7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68"/>
    </row>
    <row r="288" spans="1:25" ht="28.9" customHeight="1" thickBot="1" x14ac:dyDescent="0.3">
      <c r="B288" s="7"/>
      <c r="D288" s="36"/>
      <c r="E288" s="18"/>
      <c r="F288" s="96" t="s">
        <v>0</v>
      </c>
      <c r="G288" s="97"/>
      <c r="H288" s="97"/>
      <c r="I288" s="98"/>
      <c r="J288" s="99" t="s">
        <v>691</v>
      </c>
      <c r="K288" s="100"/>
      <c r="L288" s="100"/>
      <c r="M288" s="101"/>
      <c r="N288" s="97" t="s">
        <v>1</v>
      </c>
      <c r="O288" s="97"/>
      <c r="P288" s="97"/>
      <c r="Q288" s="98"/>
      <c r="R288" s="16" t="s">
        <v>32</v>
      </c>
      <c r="S288" s="66"/>
    </row>
    <row r="289" spans="1:18" ht="15.75" thickBot="1" x14ac:dyDescent="0.3">
      <c r="A289" s="2"/>
      <c r="C289" s="8"/>
      <c r="D289" s="84" t="s">
        <v>40</v>
      </c>
      <c r="E289" s="86"/>
      <c r="F289" s="62" t="s">
        <v>42</v>
      </c>
      <c r="G289" s="63" t="s">
        <v>43</v>
      </c>
      <c r="H289" s="63" t="s">
        <v>44</v>
      </c>
      <c r="I289" s="64" t="s">
        <v>45</v>
      </c>
      <c r="J289" s="62" t="s">
        <v>42</v>
      </c>
      <c r="K289" s="63" t="s">
        <v>43</v>
      </c>
      <c r="L289" s="63" t="s">
        <v>44</v>
      </c>
      <c r="M289" s="64" t="s">
        <v>45</v>
      </c>
      <c r="N289" s="63" t="s">
        <v>42</v>
      </c>
      <c r="O289" s="63" t="s">
        <v>43</v>
      </c>
      <c r="P289" s="63" t="s">
        <v>44</v>
      </c>
      <c r="Q289" s="64" t="s">
        <v>45</v>
      </c>
      <c r="R289" s="31" t="s">
        <v>46</v>
      </c>
    </row>
    <row r="290" spans="1:18" x14ac:dyDescent="0.25">
      <c r="A290" s="2"/>
      <c r="D290" s="37" t="s">
        <v>668</v>
      </c>
      <c r="F290" s="70"/>
      <c r="G290" s="3"/>
      <c r="H290" s="3"/>
      <c r="I290" s="38">
        <f>SUM(I274:I281)</f>
        <v>864719</v>
      </c>
      <c r="J290" s="70">
        <f>SUM(J274:J281)</f>
        <v>972672</v>
      </c>
      <c r="K290" s="3">
        <f>SUM(K274:K281)</f>
        <v>54140</v>
      </c>
      <c r="L290" s="3">
        <f>SUM(L274:L281)</f>
        <v>170164</v>
      </c>
      <c r="M290" s="38">
        <f>SUM(M274:M281)</f>
        <v>1196976</v>
      </c>
      <c r="N290" s="3"/>
      <c r="O290" s="3"/>
      <c r="P290" s="3"/>
      <c r="Q290" s="38">
        <f t="shared" ref="Q290:Q292" si="43">M290-I290</f>
        <v>332257</v>
      </c>
      <c r="R290" s="14">
        <f t="shared" ref="R290:R298" si="44">Q290/I290</f>
        <v>0.38423696021482123</v>
      </c>
    </row>
    <row r="291" spans="1:18" x14ac:dyDescent="0.25">
      <c r="A291" s="2"/>
      <c r="D291" s="37" t="s">
        <v>451</v>
      </c>
      <c r="F291" s="70"/>
      <c r="G291" s="3"/>
      <c r="H291" s="3"/>
      <c r="I291" s="38">
        <f>SUMIF($D$6:$D$232,$D291,I$6:I$232)</f>
        <v>633</v>
      </c>
      <c r="J291" s="70">
        <f>SUMIFS(J$6:J$232,$D$6:$D$232,$D291,J$6:J$232,"&gt;0")</f>
        <v>623</v>
      </c>
      <c r="K291" s="3">
        <f>SUMIFS(K$6:K$232,$D$6:$D$232,$D291,K$6:K$232,"&gt;0")</f>
        <v>10</v>
      </c>
      <c r="L291" s="3">
        <f>SUMIFS(L$6:L$232,$D$6:$D$232,$D291,L$6:L$232,"&gt;0")</f>
        <v>7</v>
      </c>
      <c r="M291" s="38">
        <f>SUMIFS(M$6:M$232,$D$6:$D$232,$D291,M$6:M$232,"&gt;0")</f>
        <v>640</v>
      </c>
      <c r="N291" s="3"/>
      <c r="O291" s="3"/>
      <c r="P291" s="3"/>
      <c r="Q291" s="38">
        <f t="shared" si="43"/>
        <v>7</v>
      </c>
      <c r="R291" s="14">
        <f>Q291/I291</f>
        <v>1.1058451816745656E-2</v>
      </c>
    </row>
    <row r="292" spans="1:18" x14ac:dyDescent="0.25">
      <c r="A292" s="2"/>
      <c r="D292" s="37" t="s">
        <v>494</v>
      </c>
      <c r="F292" s="70"/>
      <c r="G292" s="3"/>
      <c r="H292" s="3"/>
      <c r="I292" s="38">
        <f>SUMIF($D$6:$D$232,$D292,I$6:I$232)</f>
        <v>2470</v>
      </c>
      <c r="J292" s="70">
        <f t="shared" ref="J292:M294" si="45">SUMIFS(J$6:J$269,$D$6:$D$269,$D292,J$6:J$269,"&gt;0")</f>
        <v>2616</v>
      </c>
      <c r="K292" s="3">
        <f t="shared" si="45"/>
        <v>166</v>
      </c>
      <c r="L292" s="3">
        <f t="shared" si="45"/>
        <v>51</v>
      </c>
      <c r="M292" s="38">
        <f t="shared" si="45"/>
        <v>2833</v>
      </c>
      <c r="N292" s="3"/>
      <c r="O292" s="3"/>
      <c r="P292" s="3"/>
      <c r="Q292" s="38">
        <f t="shared" si="43"/>
        <v>363</v>
      </c>
      <c r="R292" s="14">
        <f t="shared" si="44"/>
        <v>0.14696356275303643</v>
      </c>
    </row>
    <row r="293" spans="1:18" x14ac:dyDescent="0.25">
      <c r="A293" s="2"/>
      <c r="D293" s="37" t="s">
        <v>543</v>
      </c>
      <c r="F293" s="70"/>
      <c r="G293" s="3"/>
      <c r="H293" s="3"/>
      <c r="I293" s="38">
        <f>SUMIF($D$6:$D$269,$D293,I$6:I$269)</f>
        <v>7464</v>
      </c>
      <c r="J293" s="70">
        <f t="shared" si="45"/>
        <v>7951</v>
      </c>
      <c r="K293" s="3">
        <f t="shared" si="45"/>
        <v>175</v>
      </c>
      <c r="L293" s="3">
        <f t="shared" si="45"/>
        <v>189</v>
      </c>
      <c r="M293" s="38">
        <f t="shared" si="45"/>
        <v>8315</v>
      </c>
      <c r="N293" s="3"/>
      <c r="O293" s="3"/>
      <c r="P293" s="3"/>
      <c r="Q293" s="38">
        <f t="shared" ref="Q293:Q294" si="46">M293-I293</f>
        <v>851</v>
      </c>
      <c r="R293" s="14">
        <f>Q293/I293</f>
        <v>0.11401393354769561</v>
      </c>
    </row>
    <row r="294" spans="1:18" x14ac:dyDescent="0.25">
      <c r="A294" s="2"/>
      <c r="D294" s="37" t="s">
        <v>631</v>
      </c>
      <c r="F294" s="70"/>
      <c r="G294" s="3"/>
      <c r="H294" s="3"/>
      <c r="I294" s="38">
        <f>SUMIF($D$6:$D$269,$D294,I$6:I$269)</f>
        <v>12044</v>
      </c>
      <c r="J294" s="70">
        <f t="shared" si="45"/>
        <v>14034</v>
      </c>
      <c r="K294" s="3">
        <f t="shared" si="45"/>
        <v>236</v>
      </c>
      <c r="L294" s="3">
        <f t="shared" si="45"/>
        <v>328</v>
      </c>
      <c r="M294" s="38">
        <f t="shared" si="45"/>
        <v>14598</v>
      </c>
      <c r="N294" s="3"/>
      <c r="O294" s="3"/>
      <c r="P294" s="3"/>
      <c r="Q294" s="38">
        <f t="shared" si="46"/>
        <v>2554</v>
      </c>
      <c r="R294" s="14">
        <f t="shared" ref="R294" si="47">Q294/I294</f>
        <v>0.21205579541680505</v>
      </c>
    </row>
    <row r="295" spans="1:18" x14ac:dyDescent="0.25">
      <c r="A295" s="2"/>
      <c r="D295" s="37"/>
      <c r="F295" s="70"/>
      <c r="G295" s="3"/>
      <c r="H295" s="3"/>
      <c r="I295" s="38"/>
      <c r="J295" s="70"/>
      <c r="K295" s="3"/>
      <c r="L295" s="3"/>
      <c r="M295" s="38"/>
      <c r="N295" s="3"/>
      <c r="O295" s="3"/>
      <c r="P295" s="3"/>
      <c r="Q295" s="38"/>
      <c r="R295" s="14"/>
    </row>
    <row r="296" spans="1:18" x14ac:dyDescent="0.25">
      <c r="A296" s="2"/>
      <c r="D296" s="37"/>
      <c r="F296" s="70"/>
      <c r="G296" s="3"/>
      <c r="H296" s="3"/>
      <c r="I296" s="38"/>
      <c r="J296" s="70"/>
      <c r="K296" s="3"/>
      <c r="L296" s="3"/>
      <c r="M296" s="38"/>
      <c r="N296" s="3"/>
      <c r="O296" s="3"/>
      <c r="P296" s="3"/>
      <c r="Q296" s="38"/>
      <c r="R296" s="14"/>
    </row>
    <row r="297" spans="1:18" ht="15.75" thickBot="1" x14ac:dyDescent="0.3">
      <c r="A297" s="6"/>
      <c r="B297" s="7"/>
      <c r="C297" s="5"/>
      <c r="D297" s="41"/>
      <c r="E297" s="13"/>
      <c r="F297" s="77"/>
      <c r="G297" s="32"/>
      <c r="H297" s="32"/>
      <c r="I297" s="52"/>
      <c r="J297" s="77"/>
      <c r="K297" s="32"/>
      <c r="L297" s="32"/>
      <c r="M297" s="52"/>
      <c r="N297" s="32"/>
      <c r="O297" s="32"/>
      <c r="P297" s="32"/>
      <c r="Q297" s="52"/>
      <c r="R297" s="15"/>
    </row>
    <row r="298" spans="1:18" ht="15.75" thickBot="1" x14ac:dyDescent="0.3">
      <c r="A298" s="6"/>
      <c r="B298" s="7"/>
      <c r="C298" s="7"/>
      <c r="D298" s="84"/>
      <c r="E298" s="85" t="s">
        <v>3</v>
      </c>
      <c r="F298" s="71"/>
      <c r="G298" s="72"/>
      <c r="H298" s="72"/>
      <c r="I298" s="88">
        <f t="shared" ref="I298:Q298" si="48">SUM(I290:I297)</f>
        <v>887330</v>
      </c>
      <c r="J298" s="71">
        <f t="shared" si="48"/>
        <v>997896</v>
      </c>
      <c r="K298" s="72">
        <f t="shared" si="48"/>
        <v>54727</v>
      </c>
      <c r="L298" s="72">
        <f t="shared" si="48"/>
        <v>170739</v>
      </c>
      <c r="M298" s="88">
        <f t="shared" si="48"/>
        <v>1223362</v>
      </c>
      <c r="N298" s="72">
        <f t="shared" si="48"/>
        <v>0</v>
      </c>
      <c r="O298" s="72">
        <f t="shared" si="48"/>
        <v>0</v>
      </c>
      <c r="P298" s="72">
        <f t="shared" si="48"/>
        <v>0</v>
      </c>
      <c r="Q298" s="88">
        <f t="shared" si="48"/>
        <v>336032</v>
      </c>
      <c r="R298" s="30">
        <f t="shared" si="44"/>
        <v>0.37870014537996011</v>
      </c>
    </row>
    <row r="299" spans="1:18" ht="12.75" customHeight="1" x14ac:dyDescent="0.25">
      <c r="E299" s="7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</row>
  </sheetData>
  <mergeCells count="9">
    <mergeCell ref="F5:I5"/>
    <mergeCell ref="J5:M5"/>
    <mergeCell ref="N5:Q5"/>
    <mergeCell ref="F288:I288"/>
    <mergeCell ref="J288:M288"/>
    <mergeCell ref="N288:Q288"/>
    <mergeCell ref="F272:I272"/>
    <mergeCell ref="J272:M272"/>
    <mergeCell ref="N272:Q272"/>
  </mergeCells>
  <phoneticPr fontId="28" type="noConversion"/>
  <conditionalFormatting sqref="P252:P269 P8:P244">
    <cfRule type="top10" dxfId="3" priority="251" bottom="1" rank="10"/>
    <cfRule type="top10" dxfId="2" priority="252" rank="10"/>
  </conditionalFormatting>
  <conditionalFormatting sqref="Q8:Q269">
    <cfRule type="top10" dxfId="1" priority="339" bottom="1" rank="10"/>
    <cfRule type="top10" dxfId="0" priority="340" rank="10"/>
  </conditionalFormatting>
  <pageMargins left="0.45" right="0.2" top="0.5" bottom="0.25" header="0.3" footer="0.3"/>
  <pageSetup scale="44" fitToHeight="3" orientation="portrait" r:id="rId1"/>
  <rowBreaks count="1" manualBreakCount="1">
    <brk id="113" min="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EvOSys</vt:lpstr>
      <vt:lpstr>EvO10.01-2045</vt:lpstr>
      <vt:lpstr>EvO10.01-2050</vt:lpstr>
      <vt:lpstr>'EvO10.01-2045'!Print_Area</vt:lpstr>
      <vt:lpstr>'EvO10.01-2050'!Print_Area</vt:lpstr>
      <vt:lpstr>EvOSys!Print_Area</vt:lpstr>
      <vt:lpstr>'EvO10.01-2045'!Print_Titles</vt:lpstr>
      <vt:lpstr>'EvO10.01-2050'!Print_Titles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Hongbo</dc:creator>
  <cp:keywords/>
  <dc:description/>
  <cp:lastModifiedBy>Bohui Liang</cp:lastModifiedBy>
  <cp:revision/>
  <dcterms:created xsi:type="dcterms:W3CDTF">2016-01-26T14:36:40Z</dcterms:created>
  <dcterms:modified xsi:type="dcterms:W3CDTF">2026-01-07T14:27:19Z</dcterms:modified>
  <cp:category/>
  <cp:contentStatus/>
</cp:coreProperties>
</file>